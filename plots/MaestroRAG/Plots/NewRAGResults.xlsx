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8.xml" ContentType="application/vnd.openxmlformats-officedocument.themeOverrid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7.xml" ContentType="application/vnd.openxmlformats-officedocument.themeOverride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csmishra\research\dmc6955\MaestroRAG\"/>
    </mc:Choice>
  </mc:AlternateContent>
  <xr:revisionPtr revIDLastSave="0" documentId="8_{50A34048-4A1B-4BB7-AFD5-4A9DF487DE83}" xr6:coauthVersionLast="47" xr6:coauthVersionMax="47" xr10:uidLastSave="{00000000-0000-0000-0000-000000000000}"/>
  <bookViews>
    <workbookView xWindow="8670" yWindow="5955" windowWidth="38700" windowHeight="15285" firstSheet="9" activeTab="11" xr2:uid="{49516A30-4E0A-A54A-9295-6CAF77D8EEA6}"/>
  </bookViews>
  <sheets>
    <sheet name="Encode" sheetId="2" r:id="rId1"/>
    <sheet name="Retrieval" sheetId="1" r:id="rId2"/>
    <sheet name="Comparison" sheetId="3" r:id="rId3"/>
    <sheet name="edge vs. server" sheetId="4" r:id="rId4"/>
    <sheet name="Motivation" sheetId="6" r:id="rId5"/>
    <sheet name="CachingResults4090" sheetId="7" r:id="rId6"/>
    <sheet name="LatencyResults-NoCache4090" sheetId="5" r:id="rId7"/>
    <sheet name="LatencyResults-NoCache4080" sheetId="8" r:id="rId8"/>
    <sheet name="LatencyResults-NoCacheJetson" sheetId="9" r:id="rId9"/>
    <sheet name="Mapping" sheetId="10" r:id="rId10"/>
    <sheet name="mainLatencyResults" sheetId="11" r:id="rId11"/>
    <sheet name="ThroughputResult" sheetId="12" r:id="rId12"/>
    <sheet name="Breakdown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2" l="1"/>
  <c r="E10" i="12"/>
  <c r="E9" i="12"/>
  <c r="C8" i="13"/>
  <c r="D7" i="13"/>
  <c r="C7" i="13"/>
  <c r="D21" i="12"/>
  <c r="C19" i="12"/>
  <c r="C20" i="12"/>
  <c r="C21" i="12"/>
  <c r="D19" i="12"/>
  <c r="D18" i="12"/>
  <c r="C18" i="12"/>
  <c r="H5" i="12"/>
  <c r="F4" i="12"/>
  <c r="M3" i="12"/>
  <c r="M2" i="12"/>
  <c r="H7" i="12"/>
  <c r="H4" i="12"/>
  <c r="E5" i="12"/>
  <c r="E6" i="12"/>
  <c r="E7" i="12"/>
  <c r="E4" i="12"/>
  <c r="F31" i="9"/>
  <c r="F30" i="9"/>
  <c r="F32" i="9"/>
  <c r="F29" i="9"/>
  <c r="M25" i="9"/>
  <c r="L25" i="9"/>
  <c r="K25" i="9"/>
  <c r="J25" i="9"/>
  <c r="M24" i="9"/>
  <c r="L24" i="9"/>
  <c r="K24" i="9"/>
  <c r="J24" i="9"/>
  <c r="M23" i="9"/>
  <c r="L23" i="9"/>
  <c r="K23" i="9"/>
  <c r="J23" i="9"/>
  <c r="M18" i="9"/>
  <c r="L18" i="9"/>
  <c r="K18" i="9"/>
  <c r="J18" i="9"/>
  <c r="M17" i="9"/>
  <c r="L17" i="9"/>
  <c r="K17" i="9"/>
  <c r="J17" i="9"/>
  <c r="M16" i="9"/>
  <c r="L16" i="9"/>
  <c r="K16" i="9"/>
  <c r="J16" i="9"/>
  <c r="M13" i="9"/>
  <c r="L13" i="9"/>
  <c r="K13" i="9"/>
  <c r="J13" i="9"/>
  <c r="M12" i="9"/>
  <c r="L12" i="9"/>
  <c r="K12" i="9"/>
  <c r="J12" i="9"/>
  <c r="M11" i="9"/>
  <c r="L11" i="9"/>
  <c r="K11" i="9"/>
  <c r="J11" i="9"/>
  <c r="M10" i="9"/>
  <c r="L10" i="9"/>
  <c r="K10" i="9"/>
  <c r="J10" i="9"/>
  <c r="M25" i="8"/>
  <c r="L25" i="8"/>
  <c r="K25" i="8"/>
  <c r="J25" i="8"/>
  <c r="M24" i="8"/>
  <c r="L24" i="8"/>
  <c r="K24" i="8"/>
  <c r="J24" i="8"/>
  <c r="M23" i="8"/>
  <c r="L23" i="8"/>
  <c r="K23" i="8"/>
  <c r="J23" i="8"/>
  <c r="M18" i="8"/>
  <c r="L18" i="8"/>
  <c r="K18" i="8"/>
  <c r="J18" i="8"/>
  <c r="M17" i="8"/>
  <c r="L17" i="8"/>
  <c r="K17" i="8"/>
  <c r="J17" i="8"/>
  <c r="M16" i="8"/>
  <c r="L16" i="8"/>
  <c r="K16" i="8"/>
  <c r="J16" i="8"/>
  <c r="M13" i="8"/>
  <c r="L13" i="8"/>
  <c r="K13" i="8"/>
  <c r="J13" i="8"/>
  <c r="M12" i="8"/>
  <c r="L12" i="8"/>
  <c r="K12" i="8"/>
  <c r="J12" i="8"/>
  <c r="M11" i="8"/>
  <c r="L11" i="8"/>
  <c r="K11" i="8"/>
  <c r="J11" i="8"/>
  <c r="M10" i="8"/>
  <c r="L10" i="8"/>
  <c r="K10" i="8"/>
  <c r="J10" i="8"/>
  <c r="J24" i="5"/>
  <c r="K24" i="5"/>
  <c r="L24" i="5"/>
  <c r="M24" i="5"/>
  <c r="J25" i="5"/>
  <c r="K25" i="5"/>
  <c r="L25" i="5"/>
  <c r="M25" i="5"/>
  <c r="K23" i="5"/>
  <c r="L23" i="5"/>
  <c r="M23" i="5"/>
  <c r="J23" i="5"/>
  <c r="J17" i="5"/>
  <c r="K17" i="5"/>
  <c r="L17" i="5"/>
  <c r="M17" i="5"/>
  <c r="J18" i="5"/>
  <c r="K18" i="5"/>
  <c r="L18" i="5"/>
  <c r="M18" i="5"/>
  <c r="K16" i="5"/>
  <c r="L16" i="5"/>
  <c r="M16" i="5"/>
  <c r="J16" i="5"/>
  <c r="J11" i="5"/>
  <c r="K11" i="5"/>
  <c r="L11" i="5"/>
  <c r="M11" i="5"/>
  <c r="J12" i="5"/>
  <c r="K12" i="5"/>
  <c r="L12" i="5"/>
  <c r="M12" i="5"/>
  <c r="J13" i="5"/>
  <c r="K13" i="5"/>
  <c r="L13" i="5"/>
  <c r="M13" i="5"/>
  <c r="K10" i="5"/>
  <c r="L10" i="5"/>
  <c r="M10" i="5"/>
  <c r="J10" i="5"/>
  <c r="H111" i="3"/>
  <c r="H110" i="3"/>
  <c r="S110" i="3"/>
  <c r="S109" i="3"/>
  <c r="R110" i="3"/>
  <c r="R109" i="3"/>
  <c r="C119" i="3"/>
  <c r="C118" i="3"/>
  <c r="E72" i="3"/>
  <c r="E73" i="3"/>
  <c r="E74" i="3"/>
  <c r="E71" i="3"/>
  <c r="G45" i="3"/>
  <c r="G44" i="3"/>
  <c r="G7" i="3"/>
  <c r="G6" i="3"/>
  <c r="L70" i="3"/>
  <c r="M70" i="3"/>
  <c r="N70" i="3"/>
  <c r="L71" i="3"/>
  <c r="M71" i="3"/>
  <c r="N71" i="3"/>
  <c r="L72" i="3"/>
  <c r="M72" i="3"/>
  <c r="N72" i="3"/>
  <c r="L73" i="3"/>
  <c r="M73" i="3"/>
  <c r="N73" i="3"/>
  <c r="K71" i="3"/>
  <c r="K72" i="3"/>
  <c r="K73" i="3"/>
  <c r="K70" i="3"/>
  <c r="C37" i="3"/>
  <c r="C36" i="3"/>
  <c r="M25" i="3"/>
  <c r="N25" i="3"/>
  <c r="O25" i="3"/>
  <c r="M26" i="3"/>
  <c r="N26" i="3"/>
  <c r="O26" i="3"/>
  <c r="M27" i="3"/>
  <c r="N27" i="3"/>
  <c r="O27" i="3"/>
  <c r="M28" i="3"/>
  <c r="N28" i="3"/>
  <c r="O28" i="3"/>
  <c r="L26" i="3"/>
  <c r="L27" i="3"/>
  <c r="L28" i="3"/>
  <c r="L25" i="3"/>
  <c r="C5" i="2"/>
  <c r="C6" i="2"/>
  <c r="C7" i="2"/>
  <c r="C4" i="2"/>
  <c r="B8" i="2"/>
</calcChain>
</file>

<file path=xl/sharedStrings.xml><?xml version="1.0" encoding="utf-8"?>
<sst xmlns="http://schemas.openxmlformats.org/spreadsheetml/2006/main" count="511" uniqueCount="156">
  <si>
    <t>Execution time split</t>
  </si>
  <si>
    <t>1 core/stage</t>
  </si>
  <si>
    <t>Breakdown</t>
  </si>
  <si>
    <t>Stages</t>
  </si>
  <si>
    <t>Encode</t>
  </si>
  <si>
    <t>Retrieve</t>
  </si>
  <si>
    <t>Augment</t>
  </si>
  <si>
    <t>Generate</t>
  </si>
  <si>
    <t>Core/worker</t>
  </si>
  <si>
    <t>Encode time</t>
  </si>
  <si>
    <t>Utilization %</t>
  </si>
  <si>
    <t>cores/stage</t>
  </si>
  <si>
    <t>BS</t>
  </si>
  <si>
    <t>Batch Size = 2</t>
  </si>
  <si>
    <t>Batch Size = 4</t>
  </si>
  <si>
    <t>Batch Size = 8</t>
  </si>
  <si>
    <t>Dataset Size</t>
  </si>
  <si>
    <t>Retrieval Workers</t>
  </si>
  <si>
    <t>1 worker specifc data</t>
  </si>
  <si>
    <t>BS:8</t>
  </si>
  <si>
    <t>1 M</t>
  </si>
  <si>
    <t>k:5</t>
  </si>
  <si>
    <t>2 M</t>
  </si>
  <si>
    <t>DS: 2mil</t>
  </si>
  <si>
    <t xml:space="preserve">4 M </t>
  </si>
  <si>
    <t>k</t>
  </si>
  <si>
    <t>W1</t>
  </si>
  <si>
    <t>W2</t>
  </si>
  <si>
    <t>W4</t>
  </si>
  <si>
    <t>Retrieval time</t>
  </si>
  <si>
    <t>1 core</t>
  </si>
  <si>
    <t xml:space="preserve">in retrieval stage </t>
  </si>
  <si>
    <t>RTX4090</t>
  </si>
  <si>
    <t>pipelined approach</t>
  </si>
  <si>
    <t>LATENCY</t>
  </si>
  <si>
    <t>THPT</t>
  </si>
  <si>
    <t>req/sec</t>
  </si>
  <si>
    <t>Batch Size</t>
  </si>
  <si>
    <t>1M</t>
  </si>
  <si>
    <t xml:space="preserve">2M </t>
  </si>
  <si>
    <t>4M</t>
  </si>
  <si>
    <t>8M</t>
  </si>
  <si>
    <t>PipeRAG</t>
  </si>
  <si>
    <t>FlashRAG</t>
  </si>
  <si>
    <t>Proposed</t>
  </si>
  <si>
    <t>Naive Pipelining</t>
  </si>
  <si>
    <t>speedup over baseline (RTX 4090)</t>
  </si>
  <si>
    <t>RTX 4070</t>
  </si>
  <si>
    <t>pipeline</t>
  </si>
  <si>
    <t>Baseline</t>
  </si>
  <si>
    <t>Pipeline</t>
  </si>
  <si>
    <t>NP</t>
  </si>
  <si>
    <t>OOM</t>
  </si>
  <si>
    <t>speedup over baseline (RTX 4070)</t>
  </si>
  <si>
    <t>Utilization 4090</t>
  </si>
  <si>
    <t>Proposed vs PipeRAG</t>
  </si>
  <si>
    <t xml:space="preserve">Baseline: </t>
  </si>
  <si>
    <t>speedup over PipeRAG</t>
  </si>
  <si>
    <t>Jetson:</t>
  </si>
  <si>
    <t>Opt</t>
  </si>
  <si>
    <t>Speeudp</t>
  </si>
  <si>
    <t>Throttled</t>
  </si>
  <si>
    <t>Time to load model on 4090:</t>
  </si>
  <si>
    <t>Llama 8B</t>
  </si>
  <si>
    <t>Llama 1B</t>
  </si>
  <si>
    <t>OPT 2.7 B</t>
  </si>
  <si>
    <t>speedup over</t>
  </si>
  <si>
    <t>Jetson Orin</t>
  </si>
  <si>
    <t>RTX 4090</t>
  </si>
  <si>
    <t>A100</t>
  </si>
  <si>
    <t>CPU</t>
  </si>
  <si>
    <t>Arm® Cortex®-A78AE</t>
  </si>
  <si>
    <t xml:space="preserve"> Intel i9-14900K</t>
  </si>
  <si>
    <t>AMD Rome 7742</t>
  </si>
  <si>
    <t>CPU cores</t>
  </si>
  <si>
    <t>Main Memory (GB)</t>
  </si>
  <si>
    <t>RAM Type</t>
  </si>
  <si>
    <t>LPDDR5</t>
  </si>
  <si>
    <t>DDR5</t>
  </si>
  <si>
    <t>DDR4</t>
  </si>
  <si>
    <t>GPU VRAM (GB)</t>
  </si>
  <si>
    <t>VRAM Type</t>
  </si>
  <si>
    <t>GDDR6X</t>
  </si>
  <si>
    <t>HBM2e</t>
  </si>
  <si>
    <t>2 mil</t>
  </si>
  <si>
    <t>4 mil</t>
  </si>
  <si>
    <t>8 mil</t>
  </si>
  <si>
    <t>1 mil</t>
  </si>
  <si>
    <t>Ours</t>
  </si>
  <si>
    <t>Databese Size</t>
  </si>
  <si>
    <t>Implementation</t>
  </si>
  <si>
    <t>EdgeRAG</t>
  </si>
  <si>
    <t>2mil, Flat, BS=8, Top_k =5</t>
  </si>
  <si>
    <t>Latency (s)</t>
  </si>
  <si>
    <t># Cores</t>
  </si>
  <si>
    <t>Index Fetch (s)</t>
  </si>
  <si>
    <t>Similarity Search (s)</t>
  </si>
  <si>
    <t>Min Latency (s)</t>
  </si>
  <si>
    <t>Max Latency (s)</t>
  </si>
  <si>
    <t>Final Plotting Results (ASPLOS'26)</t>
  </si>
  <si>
    <t>Out of Memory</t>
  </si>
  <si>
    <t>Database Size</t>
  </si>
  <si>
    <t>Retrieval</t>
  </si>
  <si>
    <t>8 Cores, Flat, 2Million, Top_k=5</t>
  </si>
  <si>
    <t>Batch Size = 16, Flat, 2Million, Top_k=5</t>
  </si>
  <si>
    <t>DB Size (Millons)</t>
  </si>
  <si>
    <t>OPT2.7B</t>
  </si>
  <si>
    <t>LLaMA3.18bInstruct</t>
  </si>
  <si>
    <t>Speedup</t>
  </si>
  <si>
    <t>4 Cores, Flat, 1Million, Top_k=5, 15W</t>
  </si>
  <si>
    <t>16 Cores, Flat, BS=8, Top_k=5</t>
  </si>
  <si>
    <t>4 Cores, Flat, 2Million Top_k=5</t>
  </si>
  <si>
    <t>Implemetation</t>
  </si>
  <si>
    <t>4 Million</t>
  </si>
  <si>
    <t>Mapper Identified</t>
  </si>
  <si>
    <t>Emperically Observed</t>
  </si>
  <si>
    <t>1Mil</t>
  </si>
  <si>
    <t>2Mil</t>
  </si>
  <si>
    <t>4Mil</t>
  </si>
  <si>
    <t>8Mil</t>
  </si>
  <si>
    <t>Cores for Encode</t>
  </si>
  <si>
    <t>Cores for Retrieve</t>
  </si>
  <si>
    <t>Device</t>
  </si>
  <si>
    <t>Jetson</t>
  </si>
  <si>
    <t>BS=8, 4Mil</t>
  </si>
  <si>
    <t>Config</t>
  </si>
  <si>
    <t>BS=8, 1Mil</t>
  </si>
  <si>
    <t>Main Latency Results</t>
  </si>
  <si>
    <t>N/A</t>
  </si>
  <si>
    <t>Ours w/ Cache</t>
  </si>
  <si>
    <t>Throughput (Queries/s)</t>
  </si>
  <si>
    <t>Time (s)</t>
  </si>
  <si>
    <t># Queries</t>
  </si>
  <si>
    <t>Not compatible with Jetson</t>
  </si>
  <si>
    <t>Start</t>
  </si>
  <si>
    <t>End</t>
  </si>
  <si>
    <t>Time</t>
  </si>
  <si>
    <t>Our speedup vs EdgeRAG</t>
  </si>
  <si>
    <t>Our speedup vs FlashRAG</t>
  </si>
  <si>
    <t>Our speedup vs PipeRAG</t>
  </si>
  <si>
    <t>Our Raw latency (s)</t>
  </si>
  <si>
    <t>Our raw latency (s)</t>
  </si>
  <si>
    <t>EdgeRAG (s)</t>
  </si>
  <si>
    <t>Ours (s)</t>
  </si>
  <si>
    <t>Speedup vs EdgeRAG</t>
  </si>
  <si>
    <t>Needs vLLM which is NOT compatible with Jetson</t>
  </si>
  <si>
    <t>BS=8</t>
  </si>
  <si>
    <t>#Core=1</t>
  </si>
  <si>
    <t>Startup</t>
  </si>
  <si>
    <t>Execution</t>
  </si>
  <si>
    <t>Total</t>
  </si>
  <si>
    <t>Grand Total</t>
  </si>
  <si>
    <t>Stage</t>
  </si>
  <si>
    <t>R</t>
  </si>
  <si>
    <t>A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</si>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</sst>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h:mm:ss;@"/>
  </numFmts>
  <fonts count="4" x14ac:knownFonts="1">
    <font>
      <sz val="12"/>
      <color theme="1"/>
      <name val="Aptos Narrow"/>
      <family val="2"/>
      <scheme val="minor"/>
    </font>
    <font>
      <sz val="11"/>
      <color rgb="FF161616"/>
      <name val="Segoe UI"/>
      <charset val="1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1" xfId="0" applyFont="1" applyBorder="1" applyAlignment="1">
      <alignment wrapText="1"/>
    </xf>
    <xf numFmtId="0" fontId="2" fillId="0" borderId="11" xfId="0" applyFont="1" applyBorder="1"/>
    <xf numFmtId="0" fontId="2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21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0" fillId="2" borderId="25" xfId="0" applyFill="1" applyBorder="1" applyAlignment="1">
      <alignment vertical="center" wrapText="1"/>
    </xf>
    <xf numFmtId="0" fontId="0" fillId="2" borderId="26" xfId="0" applyFill="1" applyBorder="1" applyAlignment="1">
      <alignment vertical="center" wrapText="1"/>
    </xf>
    <xf numFmtId="0" fontId="0" fillId="2" borderId="27" xfId="0" applyFill="1" applyBorder="1" applyAlignment="1">
      <alignment vertical="center" wrapText="1"/>
    </xf>
    <xf numFmtId="0" fontId="0" fillId="2" borderId="28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33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6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5" xfId="0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0" fillId="3" borderId="35" xfId="0" applyFill="1" applyBorder="1" applyAlignment="1">
      <alignment vertical="center" wrapText="1"/>
    </xf>
    <xf numFmtId="0" fontId="0" fillId="3" borderId="28" xfId="0" applyFill="1" applyBorder="1" applyAlignment="1">
      <alignment vertical="center"/>
    </xf>
    <xf numFmtId="0" fontId="0" fillId="3" borderId="29" xfId="0" applyFill="1" applyBorder="1" applyAlignment="1">
      <alignment vertical="center"/>
    </xf>
    <xf numFmtId="0" fontId="0" fillId="3" borderId="29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/>
    <xf numFmtId="0" fontId="0" fillId="0" borderId="26" xfId="0" applyBorder="1"/>
    <xf numFmtId="0" fontId="0" fillId="0" borderId="29" xfId="0" applyBorder="1"/>
    <xf numFmtId="0" fontId="0" fillId="0" borderId="34" xfId="0" applyBorder="1"/>
    <xf numFmtId="0" fontId="0" fillId="0" borderId="35" xfId="0" applyBorder="1"/>
    <xf numFmtId="0" fontId="0" fillId="0" borderId="28" xfId="0" applyBorder="1"/>
    <xf numFmtId="0" fontId="0" fillId="0" borderId="33" xfId="0" applyBorder="1"/>
    <xf numFmtId="0" fontId="0" fillId="0" borderId="25" xfId="0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39" xfId="0" applyBorder="1"/>
    <xf numFmtId="0" fontId="0" fillId="0" borderId="40" xfId="0" applyBorder="1"/>
    <xf numFmtId="0" fontId="0" fillId="0" borderId="31" xfId="0" applyBorder="1"/>
    <xf numFmtId="0" fontId="0" fillId="0" borderId="32" xfId="0" applyBorder="1"/>
    <xf numFmtId="0" fontId="0" fillId="0" borderId="27" xfId="0" applyBorder="1"/>
    <xf numFmtId="0" fontId="2" fillId="0" borderId="31" xfId="0" applyFont="1" applyBorder="1"/>
    <xf numFmtId="0" fontId="2" fillId="0" borderId="32" xfId="0" applyFont="1" applyBorder="1"/>
    <xf numFmtId="0" fontId="2" fillId="0" borderId="39" xfId="0" applyFont="1" applyBorder="1"/>
    <xf numFmtId="166" fontId="0" fillId="0" borderId="0" xfId="0" applyNumberFormat="1"/>
    <xf numFmtId="0" fontId="2" fillId="0" borderId="0" xfId="0" applyFont="1" applyAlignment="1">
      <alignment vertical="center"/>
    </xf>
    <xf numFmtId="0" fontId="2" fillId="0" borderId="40" xfId="0" applyFont="1" applyBorder="1"/>
    <xf numFmtId="0" fontId="2" fillId="0" borderId="44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16" xfId="0" applyFont="1" applyBorder="1" applyAlignment="1">
      <alignment horizontal="center" vertical="center" textRotation="90"/>
    </xf>
    <xf numFmtId="0" fontId="2" fillId="0" borderId="17" xfId="0" applyFont="1" applyBorder="1" applyAlignment="1">
      <alignment horizontal="center" vertical="center" textRotation="90"/>
    </xf>
    <xf numFmtId="0" fontId="2" fillId="0" borderId="15" xfId="0" applyFont="1" applyBorder="1" applyAlignment="1">
      <alignment horizontal="center" vertical="center" textRotation="90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11" xfId="0" applyFill="1" applyBorder="1" applyAlignment="1">
      <alignment horizontal="center" wrapText="1"/>
    </xf>
    <xf numFmtId="0" fontId="0" fillId="2" borderId="43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Encode!$H$3</c:f>
              <c:strCache>
                <c:ptCount val="1"/>
                <c:pt idx="0">
                  <c:v>Breakdown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0C-4553-8A16-D422F5B402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89-5544-A011-846A768216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89-5544-A011-846A768216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89-5544-A011-846A7682160F}"/>
              </c:ext>
            </c:extLst>
          </c:dPt>
          <c:dLbls>
            <c:dLbl>
              <c:idx val="0"/>
              <c:layout>
                <c:manualLayout>
                  <c:x val="8.1424224448767971E-2"/>
                  <c:y val="-0.1521072057046252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0C-4553-8A16-D422F5B402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Encode!$G$4:$G$7</c:f>
              <c:strCache>
                <c:ptCount val="4"/>
                <c:pt idx="0">
                  <c:v>Encode</c:v>
                </c:pt>
                <c:pt idx="1">
                  <c:v>Retrieve</c:v>
                </c:pt>
                <c:pt idx="2">
                  <c:v>Augment</c:v>
                </c:pt>
                <c:pt idx="3">
                  <c:v>Generate</c:v>
                </c:pt>
              </c:strCache>
            </c:strRef>
          </c:cat>
          <c:val>
            <c:numRef>
              <c:f>Encode!$H$4:$H$7</c:f>
              <c:numCache>
                <c:formatCode>0.00</c:formatCode>
                <c:ptCount val="4"/>
                <c:pt idx="0">
                  <c:v>84.697130712008502</c:v>
                </c:pt>
                <c:pt idx="1">
                  <c:v>8.430747431810131</c:v>
                </c:pt>
                <c:pt idx="2">
                  <c:v>0.17711654268508678</c:v>
                </c:pt>
                <c:pt idx="3">
                  <c:v>6.6950053134962806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C-4553-8A16-D422F5B40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04379416176383"/>
          <c:w val="0.92524419629036614"/>
          <c:h val="0.114509742711073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580467234015"/>
          <c:y val="6.7190273041646431E-2"/>
          <c:w val="0.79244773394447898"/>
          <c:h val="0.780144961691444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Encode!$B$14</c:f>
              <c:strCache>
                <c:ptCount val="1"/>
                <c:pt idx="0">
                  <c:v>Encode time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Encode!$A$15:$A$18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Encode!$B$15:$B$18</c:f>
              <c:numCache>
                <c:formatCode>General</c:formatCode>
                <c:ptCount val="4"/>
                <c:pt idx="0">
                  <c:v>40.270000000000003</c:v>
                </c:pt>
                <c:pt idx="1">
                  <c:v>19.66</c:v>
                </c:pt>
                <c:pt idx="2">
                  <c:v>10.5</c:v>
                </c:pt>
                <c:pt idx="3">
                  <c:v>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3-49AF-8489-5A0F41116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229232"/>
        <c:axId val="212226832"/>
      </c:barChart>
      <c:lineChart>
        <c:grouping val="standard"/>
        <c:varyColors val="0"/>
        <c:ser>
          <c:idx val="1"/>
          <c:order val="1"/>
          <c:tx>
            <c:strRef>
              <c:f>Encode!$C$14</c:f>
              <c:strCache>
                <c:ptCount val="1"/>
                <c:pt idx="0">
                  <c:v>Utilization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Encode!$A$15:$A$18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Encode!$C$15:$C$18</c:f>
              <c:numCache>
                <c:formatCode>General</c:formatCode>
                <c:ptCount val="4"/>
                <c:pt idx="0">
                  <c:v>99.98</c:v>
                </c:pt>
                <c:pt idx="1">
                  <c:v>99.94</c:v>
                </c:pt>
                <c:pt idx="2">
                  <c:v>99.64</c:v>
                </c:pt>
                <c:pt idx="3">
                  <c:v>99.07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43-49AF-8489-5A0F41116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873263"/>
        <c:axId val="790876623"/>
      </c:lineChart>
      <c:catAx>
        <c:axId val="212229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number of cores per worker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226832"/>
        <c:crosses val="autoZero"/>
        <c:auto val="1"/>
        <c:lblAlgn val="ctr"/>
        <c:lblOffset val="100"/>
        <c:noMultiLvlLbl val="0"/>
      </c:catAx>
      <c:valAx>
        <c:axId val="21222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229232"/>
        <c:crosses val="autoZero"/>
        <c:crossBetween val="between"/>
      </c:valAx>
      <c:valAx>
        <c:axId val="7908766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790873263"/>
        <c:crosses val="max"/>
        <c:crossBetween val="between"/>
      </c:valAx>
      <c:catAx>
        <c:axId val="790873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0876623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5630731394766746"/>
          <c:y val="7.8423601725688546E-2"/>
          <c:w val="0.54796906430331727"/>
          <c:h val="0.10307670849425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Encode!$A$28</c:f>
              <c:strCache>
                <c:ptCount val="1"/>
                <c:pt idx="0">
                  <c:v>Batch Size = 2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Encode!$B$27:$F$27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Encode!$B$28:$F$28</c:f>
              <c:numCache>
                <c:formatCode>General</c:formatCode>
                <c:ptCount val="5"/>
                <c:pt idx="0">
                  <c:v>27.87</c:v>
                </c:pt>
                <c:pt idx="1">
                  <c:v>13.25</c:v>
                </c:pt>
                <c:pt idx="2">
                  <c:v>7.09</c:v>
                </c:pt>
                <c:pt idx="3">
                  <c:v>3.61</c:v>
                </c:pt>
                <c:pt idx="4">
                  <c:v>1.59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Encode!$A$29</c:f>
              <c:strCache>
                <c:ptCount val="1"/>
                <c:pt idx="0">
                  <c:v>Batch Size = 4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Encode!$B$27:$F$27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Encode!$B$29:$F$29</c:f>
              <c:numCache>
                <c:formatCode>General</c:formatCode>
                <c:ptCount val="5"/>
                <c:pt idx="0">
                  <c:v>40.35</c:v>
                </c:pt>
                <c:pt idx="1">
                  <c:v>19.809999999999999</c:v>
                </c:pt>
                <c:pt idx="2">
                  <c:v>10.36</c:v>
                </c:pt>
                <c:pt idx="3">
                  <c:v>5.45</c:v>
                </c:pt>
                <c:pt idx="4">
                  <c:v>2.3199999999999998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Encode!$A$30</c:f>
              <c:strCache>
                <c:ptCount val="1"/>
                <c:pt idx="0">
                  <c:v>Batch Size = 8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Encode!$B$27:$F$27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Encode!$B$30:$F$30</c:f>
              <c:numCache>
                <c:formatCode>General</c:formatCode>
                <c:ptCount val="5"/>
                <c:pt idx="0">
                  <c:v>47.8</c:v>
                </c:pt>
                <c:pt idx="1">
                  <c:v>19.98</c:v>
                </c:pt>
                <c:pt idx="2">
                  <c:v>9.4499999999999993</c:v>
                </c:pt>
                <c:pt idx="3">
                  <c:v>5.25</c:v>
                </c:pt>
                <c:pt idx="4">
                  <c:v>2.2200000000000002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number of cores per stage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1176029355169581"/>
          <c:y val="0.109358778069408"/>
          <c:w val="0.27091652595217758"/>
          <c:h val="0.284771434820647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572484689413823"/>
          <c:y val="6.2696850393700793E-2"/>
          <c:w val="0.85371959755030624"/>
          <c:h val="0.71309650415757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Retrieval!$A$3</c:f>
              <c:strCache>
                <c:ptCount val="1"/>
                <c:pt idx="0">
                  <c:v>1 M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Retrieval!$B$2:$D$2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Retrieval!$B$3:$D$3</c:f>
              <c:numCache>
                <c:formatCode>General</c:formatCode>
                <c:ptCount val="3"/>
                <c:pt idx="0">
                  <c:v>2.46</c:v>
                </c:pt>
                <c:pt idx="1">
                  <c:v>2.4500000000000002</c:v>
                </c:pt>
                <c:pt idx="2">
                  <c:v>2.4460000000000002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Retrieval!$A$4</c:f>
              <c:strCache>
                <c:ptCount val="1"/>
                <c:pt idx="0">
                  <c:v>2 M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Retrieval!$B$2:$D$2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Retrieval!$B$4:$D$4</c:f>
              <c:numCache>
                <c:formatCode>General</c:formatCode>
                <c:ptCount val="3"/>
                <c:pt idx="0">
                  <c:v>4.7699999999999996</c:v>
                </c:pt>
                <c:pt idx="1">
                  <c:v>4.7699999999999996</c:v>
                </c:pt>
                <c:pt idx="2">
                  <c:v>4.7699999999999996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Retrieval!$A$5</c:f>
              <c:strCache>
                <c:ptCount val="1"/>
                <c:pt idx="0">
                  <c:v>4 M 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Retrieval!$B$2:$D$2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Retrieval!$B$5:$D$5</c:f>
              <c:numCache>
                <c:formatCode>General</c:formatCode>
                <c:ptCount val="3"/>
                <c:pt idx="0">
                  <c:v>10.11</c:v>
                </c:pt>
                <c:pt idx="1">
                  <c:v>9.51</c:v>
                </c:pt>
                <c:pt idx="2">
                  <c:v>9.52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retrieval workers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0342694663167102"/>
          <c:y val="8.6210629921259843E-2"/>
          <c:w val="0.57091644794400698"/>
          <c:h val="9.4956620005832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Retrieval!$L$10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Retrieval!$M$9:$O$9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Retrieval!$M$10:$O$10</c:f>
              <c:numCache>
                <c:formatCode>General</c:formatCode>
                <c:ptCount val="3"/>
                <c:pt idx="0">
                  <c:v>2.99</c:v>
                </c:pt>
                <c:pt idx="1">
                  <c:v>2.99</c:v>
                </c:pt>
                <c:pt idx="2">
                  <c:v>2.98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Retrieval!$L$11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Retrieval!$M$9:$O$9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Retrieval!$M$11:$O$11</c:f>
              <c:numCache>
                <c:formatCode>General</c:formatCode>
                <c:ptCount val="3"/>
                <c:pt idx="0">
                  <c:v>3.58</c:v>
                </c:pt>
                <c:pt idx="1">
                  <c:v>3.58</c:v>
                </c:pt>
                <c:pt idx="2">
                  <c:v>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Retrieval!$L$12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Retrieval!$M$9:$O$9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Retrieval!$M$12:$O$12</c:f>
              <c:numCache>
                <c:formatCode>General</c:formatCode>
                <c:ptCount val="3"/>
                <c:pt idx="0">
                  <c:v>4.7699999999999996</c:v>
                </c:pt>
                <c:pt idx="1">
                  <c:v>4.76</c:v>
                </c:pt>
                <c:pt idx="2">
                  <c:v>4.7748999999999997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ser>
          <c:idx val="3"/>
          <c:order val="3"/>
          <c:tx>
            <c:strRef>
              <c:f>Retrieval!$L$13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Retrieval!$M$9:$O$9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Retrieval!$M$13:$O$13</c:f>
              <c:numCache>
                <c:formatCode>General</c:formatCode>
                <c:ptCount val="3"/>
                <c:pt idx="0">
                  <c:v>7.22</c:v>
                </c:pt>
                <c:pt idx="1">
                  <c:v>7.17</c:v>
                </c:pt>
                <c:pt idx="2">
                  <c:v>7.13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45-477B-BC0C-A3E8F5E02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number of retrieval workers</a:t>
                </a:r>
              </a:p>
            </c:rich>
          </c:tx>
          <c:layout>
            <c:manualLayout>
              <c:xMode val="edge"/>
              <c:yMode val="edge"/>
              <c:x val="0.31825131233595799"/>
              <c:y val="0.89949146981627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9231583552055993"/>
          <c:y val="4.9173592884222808E-2"/>
          <c:w val="0.44591644794400698"/>
          <c:h val="0.12736402741324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128040244969378"/>
          <c:y val="6.2696850393700793E-2"/>
          <c:w val="0.79816404199475066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Retrieval!$L$17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Retrieval!$M$16:$O$16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Retrieval!$M$17:$O$17</c:f>
              <c:numCache>
                <c:formatCode>0.000</c:formatCode>
                <c:ptCount val="3"/>
                <c:pt idx="0">
                  <c:v>4.71</c:v>
                </c:pt>
                <c:pt idx="1">
                  <c:v>4.7141000000000002</c:v>
                </c:pt>
                <c:pt idx="2">
                  <c:v>4.7137000000000002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Retrieval!$L$18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Retrieval!$M$16:$O$16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Retrieval!$M$18:$O$18</c:f>
              <c:numCache>
                <c:formatCode>0.000</c:formatCode>
                <c:ptCount val="3"/>
                <c:pt idx="0">
                  <c:v>4.718</c:v>
                </c:pt>
                <c:pt idx="1">
                  <c:v>4.71</c:v>
                </c:pt>
                <c:pt idx="2">
                  <c:v>4.7160000000000002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number of retrieval workers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</a:t>
                </a:r>
                <a:r>
                  <a:rPr lang="en-US" baseline="0"/>
                  <a:t> Time (s)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2842694663167108"/>
          <c:y val="8.1581000291630207E-2"/>
          <c:w val="0.43480533683289585"/>
          <c:h val="0.284771434820647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938580467234015"/>
          <c:y val="6.7190273041646431E-2"/>
          <c:w val="0.79244773394447898"/>
          <c:h val="0.780144961691444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Retrieval!$B$22</c:f>
              <c:strCache>
                <c:ptCount val="1"/>
                <c:pt idx="0">
                  <c:v>Retrieval time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Retrieval!$A$23:$A$26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Retrieval!$B$23:$B$26</c:f>
              <c:numCache>
                <c:formatCode>General</c:formatCode>
                <c:ptCount val="4"/>
                <c:pt idx="0">
                  <c:v>4.71</c:v>
                </c:pt>
                <c:pt idx="1">
                  <c:v>3.53</c:v>
                </c:pt>
                <c:pt idx="2">
                  <c:v>2.76</c:v>
                </c:pt>
                <c:pt idx="3">
                  <c:v>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3-49AF-8489-5A0F41116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229232"/>
        <c:axId val="212226832"/>
      </c:barChart>
      <c:lineChart>
        <c:grouping val="standard"/>
        <c:varyColors val="0"/>
        <c:ser>
          <c:idx val="1"/>
          <c:order val="1"/>
          <c:tx>
            <c:strRef>
              <c:f>Retrieval!$C$22</c:f>
              <c:strCache>
                <c:ptCount val="1"/>
                <c:pt idx="0">
                  <c:v>Utilization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Retrieval!$A$23:$A$26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Retrieval!$C$23:$C$26</c:f>
              <c:numCache>
                <c:formatCode>General</c:formatCode>
                <c:ptCount val="4"/>
                <c:pt idx="0">
                  <c:v>96.34</c:v>
                </c:pt>
                <c:pt idx="1">
                  <c:v>94.1</c:v>
                </c:pt>
                <c:pt idx="2">
                  <c:v>88.42</c:v>
                </c:pt>
                <c:pt idx="3">
                  <c:v>77.92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43-49AF-8489-5A0F41116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873263"/>
        <c:axId val="790876623"/>
      </c:lineChart>
      <c:catAx>
        <c:axId val="212229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number of cores per worker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226832"/>
        <c:crosses val="autoZero"/>
        <c:auto val="1"/>
        <c:lblAlgn val="ctr"/>
        <c:lblOffset val="100"/>
        <c:noMultiLvlLbl val="0"/>
      </c:catAx>
      <c:valAx>
        <c:axId val="21222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229232"/>
        <c:crosses val="autoZero"/>
        <c:crossBetween val="between"/>
      </c:valAx>
      <c:valAx>
        <c:axId val="790876623"/>
        <c:scaling>
          <c:orientation val="minMax"/>
          <c:max val="100"/>
          <c:min val="7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790873263"/>
        <c:crosses val="max"/>
        <c:crossBetween val="between"/>
      </c:valAx>
      <c:catAx>
        <c:axId val="790873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0876623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5630731394766746"/>
          <c:y val="7.8423601725688546E-2"/>
          <c:w val="0.54530105593221889"/>
          <c:h val="0.10307670849425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532926503210059"/>
          <c:y val="6.2696850393700793E-2"/>
          <c:w val="0.78411506214578641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Retrieval!$R$3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Retrieval!$Q$4:$Q$6</c:f>
              <c:strCache>
                <c:ptCount val="3"/>
                <c:pt idx="0">
                  <c:v>1 M</c:v>
                </c:pt>
                <c:pt idx="1">
                  <c:v>2 M</c:v>
                </c:pt>
                <c:pt idx="2">
                  <c:v>4 M </c:v>
                </c:pt>
              </c:strCache>
            </c:strRef>
          </c:cat>
          <c:val>
            <c:numRef>
              <c:f>Retrieval!$R$4:$R$6</c:f>
              <c:numCache>
                <c:formatCode>General</c:formatCode>
                <c:ptCount val="3"/>
                <c:pt idx="0">
                  <c:v>2.46</c:v>
                </c:pt>
                <c:pt idx="1">
                  <c:v>4.7699999999999996</c:v>
                </c:pt>
                <c:pt idx="2">
                  <c:v>10.11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Database Size (in Million)</a:t>
                </a:r>
              </a:p>
            </c:rich>
          </c:tx>
          <c:layout>
            <c:manualLayout>
              <c:xMode val="edge"/>
              <c:yMode val="edge"/>
              <c:x val="0.31825131233595799"/>
              <c:y val="0.89949146981627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27962015164771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7736220472441"/>
          <c:y val="6.2696850393700793E-2"/>
          <c:w val="0.8396706036745407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Retrieval!$Q$11:$Q$14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Retrieval!$R$11:$R$14</c:f>
              <c:numCache>
                <c:formatCode>General</c:formatCode>
                <c:ptCount val="4"/>
                <c:pt idx="0">
                  <c:v>2.99</c:v>
                </c:pt>
                <c:pt idx="1">
                  <c:v>3.58</c:v>
                </c:pt>
                <c:pt idx="2">
                  <c:v>4.7699999999999996</c:v>
                </c:pt>
                <c:pt idx="3">
                  <c:v>7.22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 Size</a:t>
                </a:r>
              </a:p>
            </c:rich>
          </c:tx>
          <c:layout>
            <c:manualLayout>
              <c:xMode val="edge"/>
              <c:yMode val="edge"/>
              <c:x val="0.47380686789151355"/>
              <c:y val="0.90412109944590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27962015164771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532926503210059"/>
          <c:y val="6.2696850393700793E-2"/>
          <c:w val="0.78411506214578641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Retrieval!$R$29</c:f>
              <c:strCache>
                <c:ptCount val="1"/>
                <c:pt idx="0">
                  <c:v>1 core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Retrieval!$Q$30:$Q$31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cat>
          <c:val>
            <c:numRef>
              <c:f>Retrieval!$R$30:$R$31</c:f>
              <c:numCache>
                <c:formatCode>0.0</c:formatCode>
                <c:ptCount val="2"/>
                <c:pt idx="0">
                  <c:v>4.71</c:v>
                </c:pt>
                <c:pt idx="1">
                  <c:v>4.718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Retrieval</a:t>
                </a:r>
                <a:r>
                  <a:rPr lang="en-US" baseline="0"/>
                  <a:t> Amount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1825131233595799"/>
              <c:y val="0.89949146981627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  <c:max val="4.8"/>
          <c:min val="4.4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27962015164771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Comparison!$B$3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Comparison!$A$4:$A$7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Comparison!$B$4:$B$7</c:f>
              <c:numCache>
                <c:formatCode>General</c:formatCode>
                <c:ptCount val="4"/>
                <c:pt idx="0">
                  <c:v>6.36</c:v>
                </c:pt>
                <c:pt idx="1">
                  <c:v>6.96</c:v>
                </c:pt>
                <c:pt idx="2">
                  <c:v>8.2200000000000006</c:v>
                </c:pt>
                <c:pt idx="3">
                  <c:v>11.31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Comparison!$C$3</c:f>
              <c:strCache>
                <c:ptCount val="1"/>
                <c:pt idx="0">
                  <c:v>2M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Comparison!$A$4:$A$7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Comparison!$C$4:$C$7</c:f>
              <c:numCache>
                <c:formatCode>General</c:formatCode>
                <c:ptCount val="4"/>
                <c:pt idx="0">
                  <c:v>8.2100000000000009</c:v>
                </c:pt>
                <c:pt idx="1">
                  <c:v>9.01</c:v>
                </c:pt>
                <c:pt idx="2">
                  <c:v>9.43</c:v>
                </c:pt>
                <c:pt idx="3">
                  <c:v>11.946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Comparison!$D$3</c:f>
              <c:strCache>
                <c:ptCount val="1"/>
                <c:pt idx="0">
                  <c:v>4M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Comparison!$A$4:$A$7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Comparison!$D$4:$D$7</c:f>
              <c:numCache>
                <c:formatCode>General</c:formatCode>
                <c:ptCount val="4"/>
                <c:pt idx="0">
                  <c:v>12.2</c:v>
                </c:pt>
                <c:pt idx="1">
                  <c:v>13.31</c:v>
                </c:pt>
                <c:pt idx="2">
                  <c:v>13.414</c:v>
                </c:pt>
                <c:pt idx="3">
                  <c:v>17.899999999999999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ser>
          <c:idx val="3"/>
          <c:order val="3"/>
          <c:tx>
            <c:strRef>
              <c:f>Comparison!$E$3</c:f>
              <c:strCache>
                <c:ptCount val="1"/>
                <c:pt idx="0">
                  <c:v>8M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Comparison!$A$4:$A$7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Comparison!$E$4:$E$7</c:f>
              <c:numCache>
                <c:formatCode>General</c:formatCode>
                <c:ptCount val="4"/>
                <c:pt idx="0">
                  <c:v>21.221</c:v>
                </c:pt>
                <c:pt idx="1">
                  <c:v>22.14</c:v>
                </c:pt>
                <c:pt idx="2">
                  <c:v>22.05</c:v>
                </c:pt>
                <c:pt idx="3">
                  <c:v>35.26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B5-440A-A9D3-14D266D87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5064916885389327"/>
          <c:y val="0.109358778069408"/>
          <c:w val="0.63202755905511809"/>
          <c:h val="0.13662328667249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Comparison!$B$10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Comparison!$A$11:$A$14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Comparison!$B$11:$B$14</c:f>
              <c:numCache>
                <c:formatCode>General</c:formatCode>
                <c:ptCount val="4"/>
                <c:pt idx="0">
                  <c:v>6.85</c:v>
                </c:pt>
                <c:pt idx="1">
                  <c:v>8.91</c:v>
                </c:pt>
                <c:pt idx="2">
                  <c:v>13.91</c:v>
                </c:pt>
                <c:pt idx="3">
                  <c:v>18.78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Comparison!$C$10</c:f>
              <c:strCache>
                <c:ptCount val="1"/>
                <c:pt idx="0">
                  <c:v>2M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Comparison!$A$11:$A$14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Comparison!$C$11:$C$14</c:f>
              <c:numCache>
                <c:formatCode>General</c:formatCode>
                <c:ptCount val="4"/>
                <c:pt idx="0">
                  <c:v>9.06</c:v>
                </c:pt>
                <c:pt idx="1">
                  <c:v>10.68</c:v>
                </c:pt>
                <c:pt idx="2">
                  <c:v>12.96</c:v>
                </c:pt>
                <c:pt idx="3">
                  <c:v>19.21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Comparison!$D$10</c:f>
              <c:strCache>
                <c:ptCount val="1"/>
                <c:pt idx="0">
                  <c:v>4M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Comparison!$A$11:$A$14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Comparison!$D$11:$D$14</c:f>
              <c:numCache>
                <c:formatCode>General</c:formatCode>
                <c:ptCount val="4"/>
                <c:pt idx="0">
                  <c:v>11.77</c:v>
                </c:pt>
                <c:pt idx="1">
                  <c:v>12.23</c:v>
                </c:pt>
                <c:pt idx="2">
                  <c:v>16.39</c:v>
                </c:pt>
                <c:pt idx="3">
                  <c:v>19.78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ser>
          <c:idx val="3"/>
          <c:order val="3"/>
          <c:tx>
            <c:strRef>
              <c:f>Comparison!$E$10</c:f>
              <c:strCache>
                <c:ptCount val="1"/>
                <c:pt idx="0">
                  <c:v>8M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Comparison!$A$11:$A$14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Comparison!$E$11:$E$14</c:f>
              <c:numCache>
                <c:formatCode>General</c:formatCode>
                <c:ptCount val="4"/>
                <c:pt idx="0">
                  <c:v>18.78</c:v>
                </c:pt>
                <c:pt idx="1">
                  <c:v>19.059999999999999</c:v>
                </c:pt>
                <c:pt idx="2">
                  <c:v>18.89</c:v>
                </c:pt>
                <c:pt idx="3">
                  <c:v>25.14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B5-440A-A9D3-14D266D87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5064916885389327"/>
          <c:y val="0.109358778069408"/>
          <c:w val="0.63202755905511809"/>
          <c:h val="0.13662328667249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86948454359871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Comparison!$L$24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Comparison!$K$25:$K$28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Comparison!$L$25:$L$28</c:f>
              <c:numCache>
                <c:formatCode>0.00</c:formatCode>
                <c:ptCount val="4"/>
                <c:pt idx="0">
                  <c:v>1.0770440251572326</c:v>
                </c:pt>
                <c:pt idx="1">
                  <c:v>1.2801724137931034</c:v>
                </c:pt>
                <c:pt idx="2">
                  <c:v>1.692214111922141</c:v>
                </c:pt>
                <c:pt idx="3">
                  <c:v>1.6604774535809019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Comparison!$M$24</c:f>
              <c:strCache>
                <c:ptCount val="1"/>
                <c:pt idx="0">
                  <c:v>2M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Comparison!$K$25:$K$28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Comparison!$M$25:$M$28</c:f>
              <c:numCache>
                <c:formatCode>0.00</c:formatCode>
                <c:ptCount val="4"/>
                <c:pt idx="0">
                  <c:v>1.1035322777101095</c:v>
                </c:pt>
                <c:pt idx="1">
                  <c:v>1.1853496115427302</c:v>
                </c:pt>
                <c:pt idx="2">
                  <c:v>1.374337221633086</c:v>
                </c:pt>
                <c:pt idx="3">
                  <c:v>1.6080696467436799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Comparison!$N$24</c:f>
              <c:strCache>
                <c:ptCount val="1"/>
                <c:pt idx="0">
                  <c:v>4M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Comparison!$K$25:$K$28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Comparison!$N$25:$N$28</c:f>
              <c:numCache>
                <c:formatCode>0.00</c:formatCode>
                <c:ptCount val="4"/>
                <c:pt idx="0">
                  <c:v>0.96475409836065573</c:v>
                </c:pt>
                <c:pt idx="1">
                  <c:v>0.91885800150262964</c:v>
                </c:pt>
                <c:pt idx="2">
                  <c:v>1.2218577605486804</c:v>
                </c:pt>
                <c:pt idx="3">
                  <c:v>1.1050279329608941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ser>
          <c:idx val="3"/>
          <c:order val="3"/>
          <c:tx>
            <c:strRef>
              <c:f>Comparison!$O$24</c:f>
              <c:strCache>
                <c:ptCount val="1"/>
                <c:pt idx="0">
                  <c:v>8M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Comparison!$K$25:$K$28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Comparison!$O$25:$O$28</c:f>
              <c:numCache>
                <c:formatCode>0.00</c:formatCode>
                <c:ptCount val="4"/>
                <c:pt idx="0">
                  <c:v>0.88497243296734374</c:v>
                </c:pt>
                <c:pt idx="1">
                  <c:v>0.86088527551942173</c:v>
                </c:pt>
                <c:pt idx="2">
                  <c:v>0.85668934240362815</c:v>
                </c:pt>
                <c:pt idx="3">
                  <c:v>0.71298922291548505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B5-440A-A9D3-14D266D87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</a:t>
                </a:r>
                <a:r>
                  <a:rPr lang="en-US" baseline="0"/>
                  <a:t>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Speedup over FlashRAG</a:t>
                </a:r>
              </a:p>
            </c:rich>
          </c:tx>
          <c:layout>
            <c:manualLayout>
              <c:xMode val="edge"/>
              <c:yMode val="edge"/>
              <c:x val="0"/>
              <c:y val="0.17776829979585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7287139107611549"/>
          <c:y val="9.5469889180519088E-2"/>
          <c:w val="0.36813867016622925"/>
          <c:h val="0.13662328667249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Comparison!$K$69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Comparison!$J$70:$J$73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Comparison!$K$70:$K$73</c:f>
              <c:numCache>
                <c:formatCode>0.00</c:formatCode>
                <c:ptCount val="4"/>
                <c:pt idx="0">
                  <c:v>1.7735849056603772</c:v>
                </c:pt>
                <c:pt idx="1">
                  <c:v>1.7586206896551724</c:v>
                </c:pt>
                <c:pt idx="2">
                  <c:v>1.5681265206812651</c:v>
                </c:pt>
                <c:pt idx="3">
                  <c:v>1.3736516357206012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Comparison!$L$69</c:f>
              <c:strCache>
                <c:ptCount val="1"/>
                <c:pt idx="0">
                  <c:v>2M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Comparison!$J$70:$J$73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Comparison!$L$70:$L$73</c:f>
              <c:numCache>
                <c:formatCode>0.00</c:formatCode>
                <c:ptCount val="4"/>
                <c:pt idx="0">
                  <c:v>1.3901339829476247</c:v>
                </c:pt>
                <c:pt idx="1">
                  <c:v>1.4449500554938957</c:v>
                </c:pt>
                <c:pt idx="2">
                  <c:v>1.4019088016967127</c:v>
                </c:pt>
                <c:pt idx="3">
                  <c:v>1.4732965009208105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Comparison!$M$69</c:f>
              <c:strCache>
                <c:ptCount val="1"/>
                <c:pt idx="0">
                  <c:v>4M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Comparison!$J$70:$J$73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Comparison!$M$70:$M$73</c:f>
              <c:numCache>
                <c:formatCode>0.00</c:formatCode>
                <c:ptCount val="4"/>
                <c:pt idx="0">
                  <c:v>1.3268032786885247</c:v>
                </c:pt>
                <c:pt idx="1">
                  <c:v>1.4354620586025546</c:v>
                </c:pt>
                <c:pt idx="2">
                  <c:v>1.4760697778440437</c:v>
                </c:pt>
                <c:pt idx="3">
                  <c:v>1.4301675977653634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ser>
          <c:idx val="3"/>
          <c:order val="3"/>
          <c:tx>
            <c:strRef>
              <c:f>Comparison!$N$69</c:f>
              <c:strCache>
                <c:ptCount val="1"/>
                <c:pt idx="0">
                  <c:v>8M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Comparison!$J$70:$J$73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Comparison!$N$70:$N$73</c:f>
              <c:numCache>
                <c:formatCode>0.00</c:formatCode>
                <c:ptCount val="4"/>
                <c:pt idx="0">
                  <c:v>1.3199189482116771</c:v>
                </c:pt>
                <c:pt idx="1">
                  <c:v>1.3884372177055102</c:v>
                </c:pt>
                <c:pt idx="2">
                  <c:v>1.4033106575963719</c:v>
                </c:pt>
                <c:pt idx="3">
                  <c:v>1.1406409529211572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B5-440A-A9D3-14D266D87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Speedup over PipeRAG</a:t>
                </a:r>
              </a:p>
            </c:rich>
          </c:tx>
          <c:layout>
            <c:manualLayout>
              <c:xMode val="edge"/>
              <c:yMode val="edge"/>
              <c:x val="0"/>
              <c:y val="0.200916447944007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2518482782000968"/>
          <c:y val="9.0840402818708851E-2"/>
          <c:w val="0.63202755905511809"/>
          <c:h val="0.13662328667249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Comparison!$B$44</c:f>
              <c:strCache>
                <c:ptCount val="1"/>
                <c:pt idx="0">
                  <c:v>PipeRAG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Comparison!$B$45:$B$48</c:f>
              <c:numCache>
                <c:formatCode>General</c:formatCode>
                <c:ptCount val="4"/>
                <c:pt idx="0">
                  <c:v>59.68</c:v>
                </c:pt>
                <c:pt idx="1">
                  <c:v>59.73</c:v>
                </c:pt>
                <c:pt idx="2">
                  <c:v>62.41</c:v>
                </c:pt>
                <c:pt idx="3">
                  <c:v>65.92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Comparison!$C$44</c:f>
              <c:strCache>
                <c:ptCount val="1"/>
                <c:pt idx="0">
                  <c:v>FlashRAG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Comparison!$C$45:$C$48</c:f>
              <c:numCache>
                <c:formatCode>General</c:formatCode>
                <c:ptCount val="4"/>
                <c:pt idx="0">
                  <c:v>14.18</c:v>
                </c:pt>
                <c:pt idx="1">
                  <c:v>14.38</c:v>
                </c:pt>
                <c:pt idx="2">
                  <c:v>11.12</c:v>
                </c:pt>
                <c:pt idx="3">
                  <c:v>8.69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ser>
          <c:idx val="2"/>
          <c:order val="2"/>
          <c:tx>
            <c:strRef>
              <c:f>Comparison!$D$44</c:f>
              <c:strCache>
                <c:ptCount val="1"/>
                <c:pt idx="0">
                  <c:v>Proposed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Comparison!$A$45:$A$48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Comparison!$D$45:$D$48</c:f>
              <c:numCache>
                <c:formatCode>General</c:formatCode>
                <c:ptCount val="4"/>
                <c:pt idx="0">
                  <c:v>81.31</c:v>
                </c:pt>
                <c:pt idx="1">
                  <c:v>85.33</c:v>
                </c:pt>
                <c:pt idx="2">
                  <c:v>86.18</c:v>
                </c:pt>
                <c:pt idx="3">
                  <c:v>91.77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92C-9A9D-946A884C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 Size</a:t>
                </a:r>
              </a:p>
            </c:rich>
          </c:tx>
          <c:layout>
            <c:manualLayout>
              <c:xMode val="edge"/>
              <c:yMode val="edge"/>
              <c:x val="0.37048031496062994"/>
              <c:y val="0.890232210557013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Compute Utilization (%)</a:t>
                </a:r>
              </a:p>
            </c:rich>
          </c:tx>
          <c:layout>
            <c:manualLayout>
              <c:xMode val="edge"/>
              <c:yMode val="edge"/>
              <c:x val="0"/>
              <c:y val="0.205546077573636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2287139107611549"/>
          <c:y val="5.8432852143482067E-2"/>
          <c:w val="0.63202755905511809"/>
          <c:h val="0.13662328667249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219839839483608"/>
          <c:y val="6.2696850393700793E-2"/>
          <c:w val="0.79724609547663616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Comparison!$T$22:$T$24</c:f>
              <c:strCache>
                <c:ptCount val="3"/>
                <c:pt idx="0">
                  <c:v>PipeRAG</c:v>
                </c:pt>
                <c:pt idx="1">
                  <c:v>FlashRAG</c:v>
                </c:pt>
                <c:pt idx="2">
                  <c:v>Proposed</c:v>
                </c:pt>
              </c:strCache>
            </c:strRef>
          </c:cat>
          <c:val>
            <c:numRef>
              <c:f>Comparison!$U$22:$U$24</c:f>
              <c:numCache>
                <c:formatCode>General</c:formatCode>
                <c:ptCount val="3"/>
                <c:pt idx="0">
                  <c:v>2.57</c:v>
                </c:pt>
                <c:pt idx="1">
                  <c:v>1.022</c:v>
                </c:pt>
                <c:pt idx="2">
                  <c:v>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Scehems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Throughput (req/s)</a:t>
                </a:r>
              </a:p>
            </c:rich>
          </c:tx>
          <c:layout>
            <c:manualLayout>
              <c:xMode val="edge"/>
              <c:yMode val="edge"/>
              <c:x val="7.1739800309159E-3"/>
              <c:y val="0.1050316720014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Comparison!$A$78:$A$80</c:f>
              <c:strCache>
                <c:ptCount val="3"/>
                <c:pt idx="0">
                  <c:v>Llama 8B</c:v>
                </c:pt>
                <c:pt idx="1">
                  <c:v>Llama 1B</c:v>
                </c:pt>
                <c:pt idx="2">
                  <c:v>OPT 2.7 B</c:v>
                </c:pt>
              </c:strCache>
            </c:strRef>
          </c:cat>
          <c:val>
            <c:numRef>
              <c:f>Comparison!$B$78:$B$80</c:f>
              <c:numCache>
                <c:formatCode>General</c:formatCode>
                <c:ptCount val="3"/>
                <c:pt idx="0">
                  <c:v>2.27</c:v>
                </c:pt>
                <c:pt idx="1">
                  <c:v>0.90700000000000003</c:v>
                </c:pt>
                <c:pt idx="2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Various</a:t>
                </a:r>
                <a:r>
                  <a:rPr lang="en-US" baseline="0"/>
                  <a:t> LLMs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Model Loading</a:t>
                </a:r>
                <a:r>
                  <a:rPr lang="en-US" baseline="0"/>
                  <a:t> Time (s)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Comparison!$G$77</c:f>
              <c:strCache>
                <c:ptCount val="1"/>
                <c:pt idx="0">
                  <c:v>Speeudp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Comparison!$F$78:$F$81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Comparison!$G$78:$G$81</c:f>
              <c:numCache>
                <c:formatCode>General</c:formatCode>
                <c:ptCount val="4"/>
                <c:pt idx="0">
                  <c:v>0.99706170421155715</c:v>
                </c:pt>
                <c:pt idx="1">
                  <c:v>1.069609507640068</c:v>
                </c:pt>
                <c:pt idx="2">
                  <c:v>1.6483606557377051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Batch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  <a:r>
                  <a:rPr lang="en-US" baseline="0"/>
                  <a:t> over PipeRAG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256715651558"/>
          <c:y val="6.2696850393700793E-2"/>
          <c:w val="0.82594191335286382"/>
          <c:h val="0.72676326917468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Comparison!$R$107:$R$108</c:f>
              <c:strCache>
                <c:ptCount val="2"/>
                <c:pt idx="0">
                  <c:v>speedup over</c:v>
                </c:pt>
                <c:pt idx="1">
                  <c:v>FlashRAG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Comparison!$Q$109:$Q$111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Comparison!$R$109:$R$111</c:f>
              <c:numCache>
                <c:formatCode>General</c:formatCode>
                <c:ptCount val="3"/>
                <c:pt idx="0">
                  <c:v>1.3932038834951457</c:v>
                </c:pt>
                <c:pt idx="1">
                  <c:v>1.3823529411764708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0448-B817-3EC51C7D8003}"/>
            </c:ext>
          </c:extLst>
        </c:ser>
        <c:ser>
          <c:idx val="1"/>
          <c:order val="1"/>
          <c:tx>
            <c:strRef>
              <c:f>Comparison!$S$107:$S$108</c:f>
              <c:strCache>
                <c:ptCount val="2"/>
                <c:pt idx="0">
                  <c:v>speedup over</c:v>
                </c:pt>
                <c:pt idx="1">
                  <c:v>PipeRAG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Comparison!$Q$109:$Q$111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Comparison!$S$109:$S$111</c:f>
              <c:numCache>
                <c:formatCode>General</c:formatCode>
                <c:ptCount val="3"/>
                <c:pt idx="0">
                  <c:v>1.3356796116504854</c:v>
                </c:pt>
                <c:pt idx="1">
                  <c:v>1.402714932126697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92C-9A9D-946A884C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9066271"/>
        <c:axId val="1068886047"/>
      </c:barChart>
      <c:catAx>
        <c:axId val="106906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Batch Sizes</a:t>
                </a:r>
              </a:p>
            </c:rich>
          </c:tx>
          <c:layout>
            <c:manualLayout>
              <c:xMode val="edge"/>
              <c:yMode val="edge"/>
              <c:x val="0.45158464566929135"/>
              <c:y val="0.8809729512977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8886047"/>
        <c:crosses val="autoZero"/>
        <c:auto val="1"/>
        <c:lblAlgn val="ctr"/>
        <c:lblOffset val="100"/>
        <c:noMultiLvlLbl val="0"/>
      </c:catAx>
      <c:valAx>
        <c:axId val="1068886047"/>
        <c:scaling>
          <c:orientation val="minMax"/>
          <c:max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0"/>
              <c:y val="0.21480533683289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0690662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7009361329833774"/>
          <c:y val="5.8432852143482067E-2"/>
          <c:w val="0.38758311461067368"/>
          <c:h val="0.178289953339165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'LatencyResults-NoCache4090'!$J$22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'LatencyResults-NoCache4090'!$I$23:$I$26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'LatencyResults-NoCache4090'!$J$23:$J$26</c:f>
              <c:numCache>
                <c:formatCode>General</c:formatCode>
                <c:ptCount val="4"/>
                <c:pt idx="0">
                  <c:v>3.2507204610951006</c:v>
                </c:pt>
                <c:pt idx="1">
                  <c:v>3.2666132906325061</c:v>
                </c:pt>
                <c:pt idx="2">
                  <c:v>3.0046620046620047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A-481C-8175-534A6607C22E}"/>
            </c:ext>
          </c:extLst>
        </c:ser>
        <c:ser>
          <c:idx val="1"/>
          <c:order val="1"/>
          <c:tx>
            <c:strRef>
              <c:f>'LatencyResults-NoCache4090'!$K$22</c:f>
              <c:strCache>
                <c:ptCount val="1"/>
                <c:pt idx="0">
                  <c:v>2M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'LatencyResults-NoCache4090'!$I$23:$I$26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'LatencyResults-NoCache4090'!$K$23:$K$26</c:f>
              <c:numCache>
                <c:formatCode>General</c:formatCode>
                <c:ptCount val="4"/>
                <c:pt idx="0">
                  <c:v>3.0193121693121694</c:v>
                </c:pt>
                <c:pt idx="1">
                  <c:v>3.1854661120626377</c:v>
                </c:pt>
                <c:pt idx="2">
                  <c:v>2.6297990849413169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A-481C-8175-534A6607C22E}"/>
            </c:ext>
          </c:extLst>
        </c:ser>
        <c:ser>
          <c:idx val="2"/>
          <c:order val="2"/>
          <c:tx>
            <c:strRef>
              <c:f>'LatencyResults-NoCache4090'!$L$22</c:f>
              <c:strCache>
                <c:ptCount val="1"/>
                <c:pt idx="0">
                  <c:v>4M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'LatencyResults-NoCache4090'!$I$23:$I$26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'LatencyResults-NoCache4090'!$L$23:$L$26</c:f>
              <c:numCache>
                <c:formatCode>General</c:formatCode>
                <c:ptCount val="4"/>
                <c:pt idx="0">
                  <c:v>3.6228737690241721</c:v>
                </c:pt>
                <c:pt idx="1">
                  <c:v>3.9159663865546226</c:v>
                </c:pt>
                <c:pt idx="2">
                  <c:v>3.0475604124980764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CA-481C-8175-534A6607C22E}"/>
            </c:ext>
          </c:extLst>
        </c:ser>
        <c:ser>
          <c:idx val="3"/>
          <c:order val="3"/>
          <c:tx>
            <c:strRef>
              <c:f>'LatencyResults-NoCache4090'!$M$22</c:f>
              <c:strCache>
                <c:ptCount val="1"/>
                <c:pt idx="0">
                  <c:v>8M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'LatencyResults-NoCache4090'!$I$23:$I$26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'LatencyResults-NoCache4090'!$M$23:$M$26</c:f>
              <c:numCache>
                <c:formatCode>General</c:formatCode>
                <c:ptCount val="4"/>
                <c:pt idx="0">
                  <c:v>4.7107299024554328</c:v>
                </c:pt>
                <c:pt idx="1">
                  <c:v>4.6931297709923667</c:v>
                </c:pt>
                <c:pt idx="2">
                  <c:v>3.1382352941176475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CA-481C-8175-534A6607C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12704"/>
        <c:axId val="930507904"/>
      </c:barChart>
      <c:catAx>
        <c:axId val="9305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07904"/>
        <c:crosses val="autoZero"/>
        <c:auto val="1"/>
        <c:lblAlgn val="ctr"/>
        <c:lblOffset val="100"/>
        <c:noMultiLvlLbl val="0"/>
      </c:catAx>
      <c:valAx>
        <c:axId val="93050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1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FlashRAG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'LatencyResults-NoCache4090'!$J$15</c:f>
              <c:strCache>
                <c:ptCount val="1"/>
                <c:pt idx="0">
                  <c:v>1 mil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'LatencyResults-NoCache4090'!$I$16:$I$19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'LatencyResults-NoCache4090'!$J$16:$J$19</c:f>
              <c:numCache>
                <c:formatCode>General</c:formatCode>
                <c:ptCount val="4"/>
                <c:pt idx="0">
                  <c:v>1.9740634005763686</c:v>
                </c:pt>
                <c:pt idx="1">
                  <c:v>2.3779023218574862</c:v>
                </c:pt>
                <c:pt idx="2">
                  <c:v>3.2433566433566434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2-4B75-8726-4FD24AC79ECA}"/>
            </c:ext>
          </c:extLst>
        </c:ser>
        <c:ser>
          <c:idx val="1"/>
          <c:order val="1"/>
          <c:tx>
            <c:strRef>
              <c:f>'LatencyResults-NoCache4090'!$K$15</c:f>
              <c:strCache>
                <c:ptCount val="1"/>
                <c:pt idx="0">
                  <c:v>2 mil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'LatencyResults-NoCache4090'!$I$16:$I$19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'LatencyResults-NoCache4090'!$K$16:$K$19</c:f>
              <c:numCache>
                <c:formatCode>General</c:formatCode>
                <c:ptCount val="4"/>
                <c:pt idx="0">
                  <c:v>2.4021164021164023</c:v>
                </c:pt>
                <c:pt idx="1">
                  <c:v>2.6131636897479815</c:v>
                </c:pt>
                <c:pt idx="2">
                  <c:v>2.5780783767654665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2-4B75-8726-4FD24AC79ECA}"/>
            </c:ext>
          </c:extLst>
        </c:ser>
        <c:ser>
          <c:idx val="2"/>
          <c:order val="2"/>
          <c:tx>
            <c:strRef>
              <c:f>'LatencyResults-NoCache4090'!$L$15</c:f>
              <c:strCache>
                <c:ptCount val="1"/>
                <c:pt idx="0">
                  <c:v>4 mil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'LatencyResults-NoCache4090'!$I$16:$I$19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'LatencyResults-NoCache4090'!$L$16:$L$19</c:f>
              <c:numCache>
                <c:formatCode>General</c:formatCode>
                <c:ptCount val="4"/>
                <c:pt idx="0">
                  <c:v>2.6342882721575647</c:v>
                </c:pt>
                <c:pt idx="1">
                  <c:v>2.5066612010657923</c:v>
                </c:pt>
                <c:pt idx="2">
                  <c:v>2.5227027859011852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82-4B75-8726-4FD24AC79ECA}"/>
            </c:ext>
          </c:extLst>
        </c:ser>
        <c:ser>
          <c:idx val="3"/>
          <c:order val="3"/>
          <c:tx>
            <c:strRef>
              <c:f>'LatencyResults-NoCache4090'!$M$15</c:f>
              <c:strCache>
                <c:ptCount val="1"/>
                <c:pt idx="0">
                  <c:v>8 mil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'LatencyResults-NoCache4090'!$I$16:$I$19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'LatencyResults-NoCache4090'!$M$16:$M$19</c:f>
              <c:numCache>
                <c:formatCode>General</c:formatCode>
                <c:ptCount val="4"/>
                <c:pt idx="0">
                  <c:v>3.1577531113353516</c:v>
                </c:pt>
                <c:pt idx="1">
                  <c:v>2.9099236641221373</c:v>
                </c:pt>
                <c:pt idx="2">
                  <c:v>1.915821501014199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82-4B75-8726-4FD24AC79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833040"/>
        <c:axId val="862824400"/>
      </c:barChart>
      <c:catAx>
        <c:axId val="86283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24400"/>
        <c:crosses val="autoZero"/>
        <c:auto val="1"/>
        <c:lblAlgn val="ctr"/>
        <c:lblOffset val="100"/>
        <c:noMultiLvlLbl val="0"/>
      </c:catAx>
      <c:valAx>
        <c:axId val="86282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3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EdgeRAG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'LatencyResults-NoCache4090'!$J$9</c:f>
              <c:strCache>
                <c:ptCount val="1"/>
                <c:pt idx="0">
                  <c:v>1 mil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'LatencyResults-NoCache4090'!$I$10:$I$13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'LatencyResults-NoCache4090'!$J$10:$J$13</c:f>
              <c:numCache>
                <c:formatCode>General</c:formatCode>
                <c:ptCount val="4"/>
                <c:pt idx="0">
                  <c:v>1.3083573487031699</c:v>
                </c:pt>
                <c:pt idx="1">
                  <c:v>2.4099279423538831</c:v>
                </c:pt>
                <c:pt idx="2">
                  <c:v>3.3986013986013988</c:v>
                </c:pt>
                <c:pt idx="3">
                  <c:v>3.5433449561139834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8-4B4D-81CD-B948EEEBB013}"/>
            </c:ext>
          </c:extLst>
        </c:ser>
        <c:ser>
          <c:idx val="1"/>
          <c:order val="1"/>
          <c:tx>
            <c:strRef>
              <c:f>'LatencyResults-NoCache4090'!$K$9</c:f>
              <c:strCache>
                <c:ptCount val="1"/>
                <c:pt idx="0">
                  <c:v>2 mil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'LatencyResults-NoCache4090'!$I$10:$I$13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'LatencyResults-NoCache4090'!$K$10:$K$13</c:f>
              <c:numCache>
                <c:formatCode>General</c:formatCode>
                <c:ptCount val="4"/>
                <c:pt idx="0">
                  <c:v>1.232804232804233</c:v>
                </c:pt>
                <c:pt idx="1">
                  <c:v>2.260827012478591</c:v>
                </c:pt>
                <c:pt idx="2">
                  <c:v>3.0356077183210659</c:v>
                </c:pt>
                <c:pt idx="3">
                  <c:v>3.2592592592592591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B4D-81CD-B948EEEBB013}"/>
            </c:ext>
          </c:extLst>
        </c:ser>
        <c:ser>
          <c:idx val="2"/>
          <c:order val="2"/>
          <c:tx>
            <c:strRef>
              <c:f>'LatencyResults-NoCache4090'!$L$9</c:f>
              <c:strCache>
                <c:ptCount val="1"/>
                <c:pt idx="0">
                  <c:v>4 mil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'LatencyResults-NoCache4090'!$I$10:$I$13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'LatencyResults-NoCache4090'!$L$10:$L$13</c:f>
              <c:numCache>
                <c:formatCode>General</c:formatCode>
                <c:ptCount val="4"/>
                <c:pt idx="0">
                  <c:v>3.6213070725156671</c:v>
                </c:pt>
                <c:pt idx="1">
                  <c:v>4.1975814716130362</c:v>
                </c:pt>
                <c:pt idx="2">
                  <c:v>4.3712482684315841</c:v>
                </c:pt>
                <c:pt idx="3">
                  <c:v>5.618350038550501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8-4B4D-81CD-B948EEEBB013}"/>
            </c:ext>
          </c:extLst>
        </c:ser>
        <c:ser>
          <c:idx val="3"/>
          <c:order val="3"/>
          <c:tx>
            <c:strRef>
              <c:f>'LatencyResults-NoCache4090'!$M$9</c:f>
              <c:strCache>
                <c:ptCount val="1"/>
                <c:pt idx="0">
                  <c:v>8 mil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'LatencyResults-NoCache4090'!$I$10:$I$13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'LatencyResults-NoCache4090'!$M$10:$M$13</c:f>
              <c:numCache>
                <c:formatCode>General</c:formatCode>
                <c:ptCount val="4"/>
                <c:pt idx="0">
                  <c:v>9.6670030272452063</c:v>
                </c:pt>
                <c:pt idx="1">
                  <c:v>9.9786259541984741</c:v>
                </c:pt>
                <c:pt idx="2">
                  <c:v>12.081135902636918</c:v>
                </c:pt>
                <c:pt idx="3">
                  <c:v>6.1523360816647035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08-4B4D-81CD-B948EEEBB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840720"/>
        <c:axId val="862836880"/>
      </c:barChart>
      <c:catAx>
        <c:axId val="8628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36880"/>
        <c:crosses val="autoZero"/>
        <c:auto val="1"/>
        <c:lblAlgn val="ctr"/>
        <c:lblOffset val="100"/>
        <c:noMultiLvlLbl val="0"/>
      </c:catAx>
      <c:valAx>
        <c:axId val="8628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4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'LatencyResults-NoCacheJetson'!$J$22</c:f>
              <c:strCache>
                <c:ptCount val="1"/>
                <c:pt idx="0">
                  <c:v>1M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'LatencyResults-NoCacheJetson'!$I$23:$I$26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'LatencyResults-NoCacheJetson'!$J$23:$J$26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A-4F61-A0B7-5AAEF626C519}"/>
            </c:ext>
          </c:extLst>
        </c:ser>
        <c:ser>
          <c:idx val="1"/>
          <c:order val="1"/>
          <c:tx>
            <c:strRef>
              <c:f>'LatencyResults-NoCacheJetson'!$K$22</c:f>
              <c:strCache>
                <c:ptCount val="1"/>
                <c:pt idx="0">
                  <c:v>2M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'LatencyResults-NoCacheJetson'!$I$23:$I$26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'LatencyResults-NoCacheJetson'!$K$23:$K$26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A-4F61-A0B7-5AAEF626C519}"/>
            </c:ext>
          </c:extLst>
        </c:ser>
        <c:ser>
          <c:idx val="2"/>
          <c:order val="2"/>
          <c:tx>
            <c:strRef>
              <c:f>'LatencyResults-NoCacheJetson'!$L$22</c:f>
              <c:strCache>
                <c:ptCount val="1"/>
                <c:pt idx="0">
                  <c:v>4M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'LatencyResults-NoCacheJetson'!$I$23:$I$26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'LatencyResults-NoCacheJetson'!$L$23:$L$26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BA-4F61-A0B7-5AAEF626C519}"/>
            </c:ext>
          </c:extLst>
        </c:ser>
        <c:ser>
          <c:idx val="3"/>
          <c:order val="3"/>
          <c:tx>
            <c:strRef>
              <c:f>'LatencyResults-NoCacheJetson'!$M$22</c:f>
              <c:strCache>
                <c:ptCount val="1"/>
                <c:pt idx="0">
                  <c:v>8M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'LatencyResults-NoCacheJetson'!$I$23:$I$26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'LatencyResults-NoCacheJetson'!$M$23:$M$26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BA-4F61-A0B7-5AAEF626C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12704"/>
        <c:axId val="930507904"/>
      </c:barChart>
      <c:catAx>
        <c:axId val="9305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07904"/>
        <c:crosses val="autoZero"/>
        <c:auto val="1"/>
        <c:lblAlgn val="ctr"/>
        <c:lblOffset val="100"/>
        <c:noMultiLvlLbl val="0"/>
      </c:catAx>
      <c:valAx>
        <c:axId val="93050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1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FlashRAG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'LatencyResults-NoCacheJetson'!$J$15</c:f>
              <c:strCache>
                <c:ptCount val="1"/>
                <c:pt idx="0">
                  <c:v>1 mil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'LatencyResults-NoCacheJetson'!$I$16:$I$19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'LatencyResults-NoCacheJetson'!$J$16:$J$19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2-4656-99C0-1AB73110FC9E}"/>
            </c:ext>
          </c:extLst>
        </c:ser>
        <c:ser>
          <c:idx val="1"/>
          <c:order val="1"/>
          <c:tx>
            <c:strRef>
              <c:f>'LatencyResults-NoCacheJetson'!$K$15</c:f>
              <c:strCache>
                <c:ptCount val="1"/>
                <c:pt idx="0">
                  <c:v>2 mil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'LatencyResults-NoCacheJetson'!$I$16:$I$19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'LatencyResults-NoCacheJetson'!$K$16:$K$19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2-4656-99C0-1AB73110FC9E}"/>
            </c:ext>
          </c:extLst>
        </c:ser>
        <c:ser>
          <c:idx val="2"/>
          <c:order val="2"/>
          <c:tx>
            <c:strRef>
              <c:f>'LatencyResults-NoCacheJetson'!$L$15</c:f>
              <c:strCache>
                <c:ptCount val="1"/>
                <c:pt idx="0">
                  <c:v>4 mil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'LatencyResults-NoCacheJetson'!$I$16:$I$19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'LatencyResults-NoCacheJetson'!$L$16:$L$19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C2-4656-99C0-1AB73110FC9E}"/>
            </c:ext>
          </c:extLst>
        </c:ser>
        <c:ser>
          <c:idx val="3"/>
          <c:order val="3"/>
          <c:tx>
            <c:strRef>
              <c:f>'LatencyResults-NoCacheJetson'!$M$15</c:f>
              <c:strCache>
                <c:ptCount val="1"/>
                <c:pt idx="0">
                  <c:v>8 mil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'LatencyResults-NoCacheJetson'!$I$16:$I$19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'LatencyResults-NoCacheJetson'!$M$16:$M$19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C2-4656-99C0-1AB73110F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833040"/>
        <c:axId val="862824400"/>
      </c:barChart>
      <c:catAx>
        <c:axId val="86283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24400"/>
        <c:crosses val="autoZero"/>
        <c:auto val="1"/>
        <c:lblAlgn val="ctr"/>
        <c:lblOffset val="100"/>
        <c:noMultiLvlLbl val="0"/>
      </c:catAx>
      <c:valAx>
        <c:axId val="86282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3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EdgeRAG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'LatencyResults-NoCacheJetson'!$J$9</c:f>
              <c:strCache>
                <c:ptCount val="1"/>
                <c:pt idx="0">
                  <c:v>1 mil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'LatencyResults-NoCacheJetson'!$I$10:$I$13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'LatencyResults-NoCacheJetson'!$J$10:$J$13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7-4EE0-8449-2023DC3DCFD5}"/>
            </c:ext>
          </c:extLst>
        </c:ser>
        <c:ser>
          <c:idx val="1"/>
          <c:order val="1"/>
          <c:tx>
            <c:strRef>
              <c:f>'LatencyResults-NoCacheJetson'!$K$9</c:f>
              <c:strCache>
                <c:ptCount val="1"/>
                <c:pt idx="0">
                  <c:v>2 mil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'LatencyResults-NoCacheJetson'!$I$10:$I$13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'LatencyResults-NoCacheJetson'!$K$10:$K$13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7-4EE0-8449-2023DC3DCFD5}"/>
            </c:ext>
          </c:extLst>
        </c:ser>
        <c:ser>
          <c:idx val="2"/>
          <c:order val="2"/>
          <c:tx>
            <c:strRef>
              <c:f>'LatencyResults-NoCacheJetson'!$L$9</c:f>
              <c:strCache>
                <c:ptCount val="1"/>
                <c:pt idx="0">
                  <c:v>4 mil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'LatencyResults-NoCacheJetson'!$I$10:$I$13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'LatencyResults-NoCacheJetson'!$L$10:$L$13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07-4EE0-8449-2023DC3DCFD5}"/>
            </c:ext>
          </c:extLst>
        </c:ser>
        <c:ser>
          <c:idx val="3"/>
          <c:order val="3"/>
          <c:tx>
            <c:strRef>
              <c:f>'LatencyResults-NoCacheJetson'!$M$9</c:f>
              <c:strCache>
                <c:ptCount val="1"/>
                <c:pt idx="0">
                  <c:v>8 mil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'LatencyResults-NoCacheJetson'!$I$10:$I$13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'LatencyResults-NoCacheJetson'!$M$10:$M$13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07-4EE0-8449-2023DC3DC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840720"/>
        <c:axId val="862836880"/>
      </c:barChart>
      <c:catAx>
        <c:axId val="8628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36880"/>
        <c:crosses val="autoZero"/>
        <c:auto val="1"/>
        <c:lblAlgn val="ctr"/>
        <c:lblOffset val="100"/>
        <c:noMultiLvlLbl val="0"/>
      </c:catAx>
      <c:valAx>
        <c:axId val="8628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4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367394</xdr:colOff>
      <xdr:row>0</xdr:row>
      <xdr:rowOff>159204</xdr:rowOff>
    </xdr:from>
    <xdr:to>
      <xdr:col>11</xdr:col>
      <xdr:colOff>326571</xdr:colOff>
      <xdr:row>11</xdr:row>
      <xdr:rowOff>13608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C71B9D-AA2A-A1B1-92D3-604C25774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374196</xdr:colOff>
      <xdr:row>11</xdr:row>
      <xdr:rowOff>179615</xdr:rowOff>
    </xdr:from>
    <xdr:to>
      <xdr:col>13</xdr:col>
      <xdr:colOff>129267</xdr:colOff>
      <xdr:row>22</xdr:row>
      <xdr:rowOff>88445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3D7BE9-761D-1BC3-CC36-A758F58FC6BB}"/>
            </a:ext>
            <a:ext uri="{147F2762-F138-4A5C-976F-8EAC2B608ADB}">
              <a16:predDERef xmlns:a16="http://schemas.microsoft.com/office/drawing/2014/main" pred="{A4C71B9D-AA2A-A1B1-92D3-604C25774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306161</xdr:colOff>
      <xdr:row>23</xdr:row>
      <xdr:rowOff>9524</xdr:rowOff>
    </xdr:from>
    <xdr:to>
      <xdr:col>13</xdr:col>
      <xdr:colOff>204107</xdr:colOff>
      <xdr:row>36</xdr:row>
      <xdr:rowOff>187777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25276E-8899-526C-8EF9-1BF098D195D2}"/>
            </a:ext>
            <a:ext uri="{147F2762-F138-4A5C-976F-8EAC2B608ADB}">
              <a16:predDERef xmlns:a16="http://schemas.microsoft.com/office/drawing/2014/main" pred="{933D7BE9-761D-1BC3-CC36-A758F58FC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108857</xdr:colOff>
      <xdr:row>0</xdr:row>
      <xdr:rowOff>118383</xdr:rowOff>
    </xdr:from>
    <xdr:to>
      <xdr:col>10</xdr:col>
      <xdr:colOff>265339</xdr:colOff>
      <xdr:row>10</xdr:row>
      <xdr:rowOff>74839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B16B5E-6724-0F30-FE36-EB9250518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957262</xdr:colOff>
      <xdr:row>11</xdr:row>
      <xdr:rowOff>95250</xdr:rowOff>
    </xdr:from>
    <xdr:to>
      <xdr:col>10</xdr:col>
      <xdr:colOff>276225</xdr:colOff>
      <xdr:row>22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3F9690-BA6E-98E8-81F3-B230577D1AFA}"/>
            </a:ext>
            <a:ext uri="{147F2762-F138-4A5C-976F-8EAC2B608ADB}">
              <a16:predDERef xmlns:a16="http://schemas.microsoft.com/office/drawing/2014/main" pred="{AEB16B5E-6724-0F30-FE36-EB9250518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928687</xdr:colOff>
      <xdr:row>23</xdr:row>
      <xdr:rowOff>57150</xdr:rowOff>
    </xdr:from>
    <xdr:to>
      <xdr:col>11</xdr:col>
      <xdr:colOff>242887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21C98E-ACF5-80C8-1271-FF7AB4FAAFA6}"/>
            </a:ext>
            <a:ext uri="{147F2762-F138-4A5C-976F-8EAC2B608ADB}">
              <a16:predDERef xmlns:a16="http://schemas.microsoft.com/office/drawing/2014/main" pred="{F23F9690-BA6E-98E8-81F3-B230577D1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90487</xdr:colOff>
      <xdr:row>37</xdr:row>
      <xdr:rowOff>66675</xdr:rowOff>
    </xdr:from>
    <xdr:to>
      <xdr:col>11</xdr:col>
      <xdr:colOff>471487</xdr:colOff>
      <xdr:row>51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EACC95-39AB-4C5F-E650-BE3C63950EE2}"/>
            </a:ext>
            <a:ext uri="{147F2762-F138-4A5C-976F-8EAC2B608ADB}">
              <a16:predDERef xmlns:a16="http://schemas.microsoft.com/office/drawing/2014/main" pred="{7E21C98E-ACF5-80C8-1271-FF7AB4FAA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116526</xdr:colOff>
      <xdr:row>1</xdr:row>
      <xdr:rowOff>3142</xdr:rowOff>
    </xdr:from>
    <xdr:to>
      <xdr:col>23</xdr:col>
      <xdr:colOff>104742</xdr:colOff>
      <xdr:row>14</xdr:row>
      <xdr:rowOff>23043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2DD96C-85E4-F2FD-56B7-B0BBB119D6EB}"/>
            </a:ext>
            <a:ext uri="{147F2762-F138-4A5C-976F-8EAC2B608ADB}">
              <a16:predDERef xmlns:a16="http://schemas.microsoft.com/office/drawing/2014/main" pred="{8BEACC95-39AB-4C5F-E650-BE3C63950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133350</xdr:colOff>
      <xdr:row>15</xdr:row>
      <xdr:rowOff>19050</xdr:rowOff>
    </xdr:from>
    <xdr:to>
      <xdr:col>24</xdr:col>
      <xdr:colOff>514350</xdr:colOff>
      <xdr:row>28</xdr:row>
      <xdr:rowOff>120650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FB1950-5BBC-10DF-87AF-82DF053445C1}"/>
            </a:ext>
            <a:ext uri="{147F2762-F138-4A5C-976F-8EAC2B608ADB}">
              <a16:predDERef xmlns:a16="http://schemas.microsoft.com/office/drawing/2014/main" pred="{5C2DD96C-85E4-F2FD-56B7-B0BBB119D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222250</xdr:colOff>
      <xdr:row>30</xdr:row>
      <xdr:rowOff>19050</xdr:rowOff>
    </xdr:from>
    <xdr:to>
      <xdr:col>24</xdr:col>
      <xdr:colOff>603250</xdr:colOff>
      <xdr:row>43</xdr:row>
      <xdr:rowOff>120650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D9A896B-FC1A-665F-34CD-59A223435105}"/>
            </a:ext>
            <a:ext uri="{147F2762-F138-4A5C-976F-8EAC2B608ADB}">
              <a16:predDERef xmlns:a16="http://schemas.microsoft.com/office/drawing/2014/main" pred="{DBFB1950-5BBC-10DF-87AF-82DF05344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571501</xdr:colOff>
      <xdr:row>0</xdr:row>
      <xdr:rowOff>106845</xdr:rowOff>
    </xdr:from>
    <xdr:to>
      <xdr:col>15</xdr:col>
      <xdr:colOff>124240</xdr:colOff>
      <xdr:row>14</xdr:row>
      <xdr:rowOff>67088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B064C-A550-3D54-E605-6756E5D86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347869</xdr:colOff>
      <xdr:row>0</xdr:row>
      <xdr:rowOff>156541</xdr:rowOff>
    </xdr:from>
    <xdr:to>
      <xdr:col>20</xdr:col>
      <xdr:colOff>737151</xdr:colOff>
      <xdr:row>14</xdr:row>
      <xdr:rowOff>116784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B4C7BF-BB1A-0254-564D-85BF69E79AFC}"/>
            </a:ext>
            <a:ext uri="{147F2762-F138-4A5C-976F-8EAC2B608ADB}">
              <a16:predDERef xmlns:a16="http://schemas.microsoft.com/office/drawing/2014/main" pred="{4C7B064C-A550-3D54-E605-6756E5D86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801342</xdr:colOff>
      <xdr:row>29</xdr:row>
      <xdr:rowOff>145774</xdr:rowOff>
    </xdr:from>
    <xdr:to>
      <xdr:col>15</xdr:col>
      <xdr:colOff>219903</xdr:colOff>
      <xdr:row>43</xdr:row>
      <xdr:rowOff>106018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71329C13-1E1E-ED14-568F-2A6E2404FAE5}"/>
            </a:ext>
            <a:ext uri="{147F2762-F138-4A5C-976F-8EAC2B608ADB}">
              <a16:predDERef xmlns:a16="http://schemas.microsoft.com/office/drawing/2014/main" pred="{6BB4C7BF-BB1A-0254-564D-85BF69E79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289891</xdr:colOff>
      <xdr:row>62</xdr:row>
      <xdr:rowOff>98562</xdr:rowOff>
    </xdr:from>
    <xdr:to>
      <xdr:col>19</xdr:col>
      <xdr:colOff>646043</xdr:colOff>
      <xdr:row>76</xdr:row>
      <xdr:rowOff>58806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EAE3088B-33CC-77AA-6E9E-27F4A7BD3F08}"/>
            </a:ext>
            <a:ext uri="{147F2762-F138-4A5C-976F-8EAC2B608ADB}">
              <a16:predDERef xmlns:a16="http://schemas.microsoft.com/office/drawing/2014/main" pred="{71329C13-1E1E-ED14-568F-2A6E2404F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448236</xdr:colOff>
      <xdr:row>48</xdr:row>
      <xdr:rowOff>107577</xdr:rowOff>
    </xdr:from>
    <xdr:to>
      <xdr:col>5</xdr:col>
      <xdr:colOff>818030</xdr:colOff>
      <xdr:row>62</xdr:row>
      <xdr:rowOff>26894</xdr:rowOff>
    </xdr:to>
    <xdr:graphicFrame macro="">
      <xdr:nvGraphicFramePr>
        <xdr:cNvPr id="52" name="Chart 2">
          <a:extLst>
            <a:ext uri="{FF2B5EF4-FFF2-40B4-BE49-F238E27FC236}">
              <a16:creationId xmlns:a16="http://schemas.microsoft.com/office/drawing/2014/main" id="{56F48117-3035-2E01-4AE9-51CD7690B61E}"/>
            </a:ext>
            <a:ext uri="{147F2762-F138-4A5C-976F-8EAC2B608ADB}">
              <a16:predDERef xmlns:a16="http://schemas.microsoft.com/office/drawing/2014/main" pred="{EAE3088B-33CC-77AA-6E9E-27F4A7BD3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213397</xdr:colOff>
      <xdr:row>20</xdr:row>
      <xdr:rowOff>76637</xdr:rowOff>
    </xdr:from>
    <xdr:to>
      <xdr:col>25</xdr:col>
      <xdr:colOff>392206</xdr:colOff>
      <xdr:row>31</xdr:row>
      <xdr:rowOff>56029</xdr:rowOff>
    </xdr:to>
    <xdr:graphicFrame macro="">
      <xdr:nvGraphicFramePr>
        <xdr:cNvPr id="92" name="Chart 4">
          <a:extLst>
            <a:ext uri="{FF2B5EF4-FFF2-40B4-BE49-F238E27FC236}">
              <a16:creationId xmlns:a16="http://schemas.microsoft.com/office/drawing/2014/main" id="{2AE83041-C6EF-67F3-F149-E7B40640B489}"/>
            </a:ext>
            <a:ext uri="{147F2762-F138-4A5C-976F-8EAC2B608ADB}">
              <a16:predDERef xmlns:a16="http://schemas.microsoft.com/office/drawing/2014/main" pred="{56F48117-3035-2E01-4AE9-51CD7690B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78443</xdr:colOff>
      <xdr:row>85</xdr:row>
      <xdr:rowOff>118782</xdr:rowOff>
    </xdr:from>
    <xdr:to>
      <xdr:col>5</xdr:col>
      <xdr:colOff>448237</xdr:colOff>
      <xdr:row>99</xdr:row>
      <xdr:rowOff>38100</xdr:rowOff>
    </xdr:to>
    <xdr:graphicFrame macro="">
      <xdr:nvGraphicFramePr>
        <xdr:cNvPr id="171" name="Chart 8">
          <a:extLst>
            <a:ext uri="{FF2B5EF4-FFF2-40B4-BE49-F238E27FC236}">
              <a16:creationId xmlns:a16="http://schemas.microsoft.com/office/drawing/2014/main" id="{97D0A1C2-7809-5F7A-3399-E87DD6B9021C}"/>
            </a:ext>
            <a:ext uri="{147F2762-F138-4A5C-976F-8EAC2B608ADB}">
              <a16:predDERef xmlns:a16="http://schemas.microsoft.com/office/drawing/2014/main" pred="{2AE83041-C6EF-67F3-F149-E7B40640B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320572</xdr:colOff>
      <xdr:row>74</xdr:row>
      <xdr:rowOff>113481</xdr:rowOff>
    </xdr:from>
    <xdr:to>
      <xdr:col>12</xdr:col>
      <xdr:colOff>672895</xdr:colOff>
      <xdr:row>87</xdr:row>
      <xdr:rowOff>193778</xdr:rowOff>
    </xdr:to>
    <xdr:graphicFrame macro="">
      <xdr:nvGraphicFramePr>
        <xdr:cNvPr id="173" name="Chart 172">
          <a:extLst>
            <a:ext uri="{FF2B5EF4-FFF2-40B4-BE49-F238E27FC236}">
              <a16:creationId xmlns:a16="http://schemas.microsoft.com/office/drawing/2014/main" id="{3428852F-3D1E-B1F9-E6AD-D96DDEA4CC51}"/>
            </a:ext>
            <a:ext uri="{147F2762-F138-4A5C-976F-8EAC2B608ADB}">
              <a16:predDERef xmlns:a16="http://schemas.microsoft.com/office/drawing/2014/main" pred="{97D0A1C2-7809-5F7A-3399-E87DD6B90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95250</xdr:colOff>
      <xdr:row>111</xdr:row>
      <xdr:rowOff>158750</xdr:rowOff>
    </xdr:from>
    <xdr:to>
      <xdr:col>21</xdr:col>
      <xdr:colOff>476250</xdr:colOff>
      <xdr:row>125</xdr:row>
      <xdr:rowOff>57150</xdr:rowOff>
    </xdr:to>
    <xdr:graphicFrame macro="">
      <xdr:nvGraphicFramePr>
        <xdr:cNvPr id="177" name="Chart 176">
          <a:extLst>
            <a:ext uri="{FF2B5EF4-FFF2-40B4-BE49-F238E27FC236}">
              <a16:creationId xmlns:a16="http://schemas.microsoft.com/office/drawing/2014/main" id="{31CC9BC0-B1E8-E6CA-90AF-64EE5D21D467}"/>
            </a:ext>
            <a:ext uri="{147F2762-F138-4A5C-976F-8EAC2B608ADB}">
              <a16:predDERef xmlns:a16="http://schemas.microsoft.com/office/drawing/2014/main" pred="{3428852F-3D1E-B1F9-E6AD-D96DDEA4C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145079</xdr:colOff>
      <xdr:row>35</xdr:row>
      <xdr:rowOff>37649</xdr:rowOff>
    </xdr:from>
    <xdr:to>
      <xdr:col>12</xdr:col>
      <xdr:colOff>722035</xdr:colOff>
      <xdr:row>48</xdr:row>
      <xdr:rowOff>151297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2029EF-3FD1-E9D7-4BD8-EB6FE8725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559285</xdr:colOff>
      <xdr:row>31</xdr:row>
      <xdr:rowOff>61285</xdr:rowOff>
    </xdr:from>
    <xdr:to>
      <xdr:col>7</xdr:col>
      <xdr:colOff>67426</xdr:colOff>
      <xdr:row>44</xdr:row>
      <xdr:rowOff>174932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D70E50-C18C-C3A8-5CC1-26F75E928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482167</xdr:colOff>
      <xdr:row>32</xdr:row>
      <xdr:rowOff>2738</xdr:rowOff>
    </xdr:from>
    <xdr:to>
      <xdr:col>20</xdr:col>
      <xdr:colOff>322574</xdr:colOff>
      <xdr:row>45</xdr:row>
      <xdr:rowOff>116386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5CF3DA-8552-B7B7-FAEE-D366C8121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145079</xdr:colOff>
      <xdr:row>35</xdr:row>
      <xdr:rowOff>37649</xdr:rowOff>
    </xdr:from>
    <xdr:to>
      <xdr:col>12</xdr:col>
      <xdr:colOff>722035</xdr:colOff>
      <xdr:row>48</xdr:row>
      <xdr:rowOff>151297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F041D-5DE1-423D-B532-5543208B4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608131</xdr:colOff>
      <xdr:row>35</xdr:row>
      <xdr:rowOff>5462</xdr:rowOff>
    </xdr:from>
    <xdr:to>
      <xdr:col>7</xdr:col>
      <xdr:colOff>116272</xdr:colOff>
      <xdr:row>48</xdr:row>
      <xdr:rowOff>119109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029E0E-D0C2-4184-92A6-24652B666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482167</xdr:colOff>
      <xdr:row>32</xdr:row>
      <xdr:rowOff>2738</xdr:rowOff>
    </xdr:from>
    <xdr:to>
      <xdr:col>20</xdr:col>
      <xdr:colOff>322574</xdr:colOff>
      <xdr:row>45</xdr:row>
      <xdr:rowOff>116386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E0F35B-8E0A-4768-AA3A-B4E8FAA28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F540-80F6-0041-8FFF-4C6F965D9B7F}">
  <dimension ref="A3:H30"/>
  <sheetViews>
    <sheetView topLeftCell="A4" zoomScale="58" zoomScaleNormal="140" workbookViewId="0">
      <selection activeCell="E14" sqref="E14"/>
    </sheetView>
  </sheetViews>
  <sheetFormatPr defaultColWidth="11" defaultRowHeight="15.75" x14ac:dyDescent="0.25"/>
  <cols>
    <col min="1" max="1" width="16.625" customWidth="1"/>
    <col min="8" max="8" width="13.5" bestFit="1" customWidth="1"/>
  </cols>
  <sheetData>
    <row r="3" spans="1:8" x14ac:dyDescent="0.25">
      <c r="A3" s="1" t="s">
        <v>0</v>
      </c>
      <c r="B3" t="s">
        <v>1</v>
      </c>
      <c r="C3" t="s">
        <v>2</v>
      </c>
      <c r="G3" s="1" t="s">
        <v>3</v>
      </c>
      <c r="H3" t="s">
        <v>2</v>
      </c>
    </row>
    <row r="4" spans="1:8" x14ac:dyDescent="0.25">
      <c r="A4" t="s">
        <v>4</v>
      </c>
      <c r="B4">
        <v>47.82</v>
      </c>
      <c r="C4">
        <f>B4*100/D4</f>
        <v>84.697130712008502</v>
      </c>
      <c r="D4">
        <v>56.46</v>
      </c>
      <c r="G4" t="s">
        <v>4</v>
      </c>
      <c r="H4" s="5">
        <v>84.697130712008502</v>
      </c>
    </row>
    <row r="5" spans="1:8" x14ac:dyDescent="0.25">
      <c r="A5" t="s">
        <v>5</v>
      </c>
      <c r="B5">
        <v>4.76</v>
      </c>
      <c r="C5">
        <f t="shared" ref="C5:C7" si="0">B5*100/D5</f>
        <v>8.430747431810131</v>
      </c>
      <c r="D5">
        <v>56.46</v>
      </c>
      <c r="G5" t="s">
        <v>5</v>
      </c>
      <c r="H5" s="5">
        <v>8.430747431810131</v>
      </c>
    </row>
    <row r="6" spans="1:8" x14ac:dyDescent="0.25">
      <c r="A6" t="s">
        <v>6</v>
      </c>
      <c r="B6">
        <v>0.1</v>
      </c>
      <c r="C6">
        <f t="shared" si="0"/>
        <v>0.17711654268508678</v>
      </c>
      <c r="D6">
        <v>56.46</v>
      </c>
      <c r="G6" t="s">
        <v>6</v>
      </c>
      <c r="H6" s="5">
        <v>0.17711654268508678</v>
      </c>
    </row>
    <row r="7" spans="1:8" x14ac:dyDescent="0.25">
      <c r="A7" t="s">
        <v>7</v>
      </c>
      <c r="B7">
        <v>3.78</v>
      </c>
      <c r="C7">
        <f t="shared" si="0"/>
        <v>6.6950053134962806</v>
      </c>
      <c r="D7">
        <v>56.46</v>
      </c>
      <c r="G7" t="s">
        <v>7</v>
      </c>
      <c r="H7" s="5">
        <v>6.6950053134962806</v>
      </c>
    </row>
    <row r="8" spans="1:8" x14ac:dyDescent="0.25">
      <c r="B8">
        <f>SUM(B4:B7)</f>
        <v>56.46</v>
      </c>
    </row>
    <row r="14" spans="1:8" x14ac:dyDescent="0.25">
      <c r="A14" s="1" t="s">
        <v>8</v>
      </c>
      <c r="B14" s="1" t="s">
        <v>9</v>
      </c>
      <c r="C14" s="1" t="s">
        <v>10</v>
      </c>
    </row>
    <row r="15" spans="1:8" x14ac:dyDescent="0.25">
      <c r="A15">
        <v>1</v>
      </c>
      <c r="B15">
        <v>40.270000000000003</v>
      </c>
      <c r="C15">
        <v>99.98</v>
      </c>
    </row>
    <row r="16" spans="1:8" x14ac:dyDescent="0.25">
      <c r="A16">
        <v>2</v>
      </c>
      <c r="B16">
        <v>19.66</v>
      </c>
      <c r="C16">
        <v>99.94</v>
      </c>
    </row>
    <row r="17" spans="1:6" x14ac:dyDescent="0.25">
      <c r="A17">
        <v>4</v>
      </c>
      <c r="B17">
        <v>10.5</v>
      </c>
      <c r="C17">
        <v>99.64</v>
      </c>
    </row>
    <row r="18" spans="1:6" x14ac:dyDescent="0.25">
      <c r="A18">
        <v>8</v>
      </c>
      <c r="B18">
        <v>5.36</v>
      </c>
      <c r="C18">
        <v>99.07</v>
      </c>
    </row>
    <row r="20" spans="1:6" x14ac:dyDescent="0.25">
      <c r="A20" s="1"/>
      <c r="B20" s="101" t="s">
        <v>11</v>
      </c>
      <c r="C20" s="102"/>
      <c r="D20" s="102"/>
      <c r="E20" s="102"/>
      <c r="F20" s="102"/>
    </row>
    <row r="21" spans="1:6" x14ac:dyDescent="0.25">
      <c r="A21" s="1" t="s">
        <v>12</v>
      </c>
      <c r="B21" s="2">
        <v>1</v>
      </c>
      <c r="C21" s="1">
        <v>2</v>
      </c>
      <c r="D21" s="1">
        <v>4</v>
      </c>
      <c r="E21" s="1">
        <v>8</v>
      </c>
      <c r="F21" s="1">
        <v>16</v>
      </c>
    </row>
    <row r="22" spans="1:6" x14ac:dyDescent="0.25">
      <c r="A22" s="1">
        <v>2</v>
      </c>
      <c r="B22">
        <v>27.87</v>
      </c>
      <c r="C22">
        <v>13.25</v>
      </c>
      <c r="D22">
        <v>7.09</v>
      </c>
      <c r="E22">
        <v>3.61</v>
      </c>
      <c r="F22">
        <v>1.59</v>
      </c>
    </row>
    <row r="23" spans="1:6" x14ac:dyDescent="0.25">
      <c r="A23" s="1">
        <v>4</v>
      </c>
      <c r="B23">
        <v>40.35</v>
      </c>
      <c r="C23">
        <v>19.809999999999999</v>
      </c>
      <c r="D23">
        <v>10.36</v>
      </c>
      <c r="E23">
        <v>5.45</v>
      </c>
      <c r="F23">
        <v>2.3199999999999998</v>
      </c>
    </row>
    <row r="24" spans="1:6" x14ac:dyDescent="0.25">
      <c r="A24" s="1">
        <v>8</v>
      </c>
      <c r="B24">
        <v>47.8</v>
      </c>
      <c r="C24">
        <v>19.98</v>
      </c>
      <c r="D24">
        <v>9.4499999999999993</v>
      </c>
      <c r="E24">
        <v>5.25</v>
      </c>
      <c r="F24">
        <v>2.2200000000000002</v>
      </c>
    </row>
    <row r="27" spans="1:6" x14ac:dyDescent="0.25">
      <c r="B27">
        <v>1</v>
      </c>
      <c r="C27">
        <v>2</v>
      </c>
      <c r="D27">
        <v>4</v>
      </c>
      <c r="E27">
        <v>8</v>
      </c>
      <c r="F27">
        <v>16</v>
      </c>
    </row>
    <row r="28" spans="1:6" x14ac:dyDescent="0.25">
      <c r="A28" t="s">
        <v>13</v>
      </c>
      <c r="B28">
        <v>27.87</v>
      </c>
      <c r="C28">
        <v>13.25</v>
      </c>
      <c r="D28">
        <v>7.09</v>
      </c>
      <c r="E28">
        <v>3.61</v>
      </c>
      <c r="F28">
        <v>1.59</v>
      </c>
    </row>
    <row r="29" spans="1:6" x14ac:dyDescent="0.25">
      <c r="A29" t="s">
        <v>14</v>
      </c>
      <c r="B29">
        <v>40.35</v>
      </c>
      <c r="C29">
        <v>19.809999999999999</v>
      </c>
      <c r="D29">
        <v>10.36</v>
      </c>
      <c r="E29">
        <v>5.45</v>
      </c>
      <c r="F29">
        <v>2.3199999999999998</v>
      </c>
    </row>
    <row r="30" spans="1:6" x14ac:dyDescent="0.25">
      <c r="A30" t="s">
        <v>15</v>
      </c>
      <c r="B30">
        <v>47.8</v>
      </c>
      <c r="C30">
        <v>19.98</v>
      </c>
      <c r="D30">
        <v>9.4499999999999993</v>
      </c>
      <c r="E30">
        <v>5.25</v>
      </c>
      <c r="F30">
        <v>2.2200000000000002</v>
      </c>
    </row>
  </sheetData>
  <mergeCells count="1">
    <mergeCell ref="B20:F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F46B-4A36-BA46-853D-B64CD65FDD9C}">
  <dimension ref="A1:R50"/>
  <sheetViews>
    <sheetView topLeftCell="A12" zoomScale="67" zoomScaleNormal="100" workbookViewId="0">
      <selection activeCell="K62" sqref="K62"/>
    </sheetView>
  </sheetViews>
  <sheetFormatPr defaultColWidth="11" defaultRowHeight="15.75" x14ac:dyDescent="0.25"/>
  <cols>
    <col min="1" max="1" width="13.875" customWidth="1"/>
    <col min="3" max="3" width="15.125" customWidth="1"/>
    <col min="6" max="6" width="14" customWidth="1"/>
  </cols>
  <sheetData>
    <row r="1" spans="1:18" x14ac:dyDescent="0.25">
      <c r="A1" s="1" t="s">
        <v>16</v>
      </c>
      <c r="B1" s="102" t="s">
        <v>17</v>
      </c>
      <c r="C1" s="102"/>
      <c r="D1" s="102"/>
      <c r="Q1" t="s">
        <v>18</v>
      </c>
    </row>
    <row r="2" spans="1:18" x14ac:dyDescent="0.25">
      <c r="A2" s="1"/>
      <c r="B2" s="1">
        <v>1</v>
      </c>
      <c r="C2" s="1">
        <v>2</v>
      </c>
      <c r="D2" s="1">
        <v>4</v>
      </c>
      <c r="F2" t="s">
        <v>19</v>
      </c>
    </row>
    <row r="3" spans="1:18" x14ac:dyDescent="0.25">
      <c r="A3" t="s">
        <v>20</v>
      </c>
      <c r="B3">
        <v>2.46</v>
      </c>
      <c r="C3">
        <v>2.4500000000000002</v>
      </c>
      <c r="D3">
        <v>2.4460000000000002</v>
      </c>
      <c r="F3" t="s">
        <v>21</v>
      </c>
      <c r="Q3" s="1"/>
      <c r="R3" s="1">
        <v>1</v>
      </c>
    </row>
    <row r="4" spans="1:18" x14ac:dyDescent="0.25">
      <c r="A4" t="s">
        <v>22</v>
      </c>
      <c r="B4">
        <v>4.7699999999999996</v>
      </c>
      <c r="C4">
        <v>4.7699999999999996</v>
      </c>
      <c r="D4">
        <v>4.7699999999999996</v>
      </c>
      <c r="F4" t="s">
        <v>23</v>
      </c>
      <c r="Q4" t="s">
        <v>20</v>
      </c>
      <c r="R4">
        <v>2.46</v>
      </c>
    </row>
    <row r="5" spans="1:18" x14ac:dyDescent="0.25">
      <c r="A5" t="s">
        <v>24</v>
      </c>
      <c r="B5">
        <v>10.11</v>
      </c>
      <c r="C5">
        <v>9.51</v>
      </c>
      <c r="D5">
        <v>9.52</v>
      </c>
      <c r="Q5" t="s">
        <v>22</v>
      </c>
      <c r="R5">
        <v>4.7699999999999996</v>
      </c>
    </row>
    <row r="6" spans="1:18" x14ac:dyDescent="0.25">
      <c r="Q6" t="s">
        <v>24</v>
      </c>
      <c r="R6">
        <v>10.11</v>
      </c>
    </row>
    <row r="8" spans="1:18" x14ac:dyDescent="0.25">
      <c r="A8" s="1" t="s">
        <v>12</v>
      </c>
      <c r="B8" s="1">
        <v>1</v>
      </c>
      <c r="C8" s="1">
        <v>2</v>
      </c>
      <c r="D8" s="1">
        <v>4</v>
      </c>
    </row>
    <row r="9" spans="1:18" x14ac:dyDescent="0.25">
      <c r="A9">
        <v>2</v>
      </c>
      <c r="B9">
        <v>2.99</v>
      </c>
      <c r="C9">
        <v>2.99</v>
      </c>
      <c r="D9">
        <v>2.98</v>
      </c>
      <c r="M9">
        <v>1</v>
      </c>
      <c r="N9">
        <v>2</v>
      </c>
      <c r="O9">
        <v>4</v>
      </c>
    </row>
    <row r="10" spans="1:18" x14ac:dyDescent="0.25">
      <c r="A10">
        <v>4</v>
      </c>
      <c r="B10">
        <v>3.58</v>
      </c>
      <c r="C10">
        <v>3.58</v>
      </c>
      <c r="D10">
        <v>3.58</v>
      </c>
      <c r="L10">
        <v>2</v>
      </c>
      <c r="M10">
        <v>2.99</v>
      </c>
      <c r="N10">
        <v>2.99</v>
      </c>
      <c r="O10">
        <v>2.98</v>
      </c>
      <c r="Q10" s="1" t="s">
        <v>12</v>
      </c>
      <c r="R10" s="1">
        <v>1</v>
      </c>
    </row>
    <row r="11" spans="1:18" x14ac:dyDescent="0.25">
      <c r="A11">
        <v>8</v>
      </c>
      <c r="B11">
        <v>4.7699999999999996</v>
      </c>
      <c r="C11">
        <v>4.76</v>
      </c>
      <c r="D11">
        <v>4.7748999999999997</v>
      </c>
      <c r="L11">
        <v>4</v>
      </c>
      <c r="M11">
        <v>3.58</v>
      </c>
      <c r="N11">
        <v>3.58</v>
      </c>
      <c r="O11">
        <v>3.58</v>
      </c>
      <c r="Q11">
        <v>2</v>
      </c>
      <c r="R11">
        <v>2.99</v>
      </c>
    </row>
    <row r="12" spans="1:18" x14ac:dyDescent="0.25">
      <c r="A12">
        <v>16</v>
      </c>
      <c r="B12">
        <v>7.22</v>
      </c>
      <c r="C12">
        <v>7.17</v>
      </c>
      <c r="D12">
        <v>7.13</v>
      </c>
      <c r="L12">
        <v>8</v>
      </c>
      <c r="M12">
        <v>4.7699999999999996</v>
      </c>
      <c r="N12">
        <v>4.76</v>
      </c>
      <c r="O12">
        <v>4.7748999999999997</v>
      </c>
      <c r="Q12">
        <v>4</v>
      </c>
      <c r="R12">
        <v>3.58</v>
      </c>
    </row>
    <row r="13" spans="1:18" x14ac:dyDescent="0.25">
      <c r="L13">
        <v>16</v>
      </c>
      <c r="M13">
        <v>7.22</v>
      </c>
      <c r="N13">
        <v>7.17</v>
      </c>
      <c r="O13">
        <v>7.13</v>
      </c>
      <c r="Q13">
        <v>8</v>
      </c>
      <c r="R13">
        <v>4.7699999999999996</v>
      </c>
    </row>
    <row r="14" spans="1:18" x14ac:dyDescent="0.25">
      <c r="Q14">
        <v>16</v>
      </c>
      <c r="R14">
        <v>7.22</v>
      </c>
    </row>
    <row r="15" spans="1:18" x14ac:dyDescent="0.25">
      <c r="A15" s="1" t="s">
        <v>25</v>
      </c>
      <c r="B15" s="1" t="s">
        <v>26</v>
      </c>
      <c r="C15" s="1" t="s">
        <v>27</v>
      </c>
      <c r="D15" s="1" t="s">
        <v>28</v>
      </c>
    </row>
    <row r="16" spans="1:18" x14ac:dyDescent="0.25">
      <c r="A16">
        <v>1</v>
      </c>
      <c r="B16">
        <v>4.71</v>
      </c>
      <c r="C16">
        <v>4.7141000000000002</v>
      </c>
      <c r="D16">
        <v>4.7137000000000002</v>
      </c>
      <c r="M16">
        <v>1</v>
      </c>
      <c r="N16">
        <v>2</v>
      </c>
      <c r="O16">
        <v>4</v>
      </c>
    </row>
    <row r="17" spans="1:18" x14ac:dyDescent="0.25">
      <c r="A17">
        <v>5</v>
      </c>
      <c r="B17">
        <v>4.718</v>
      </c>
      <c r="C17">
        <v>4.71</v>
      </c>
      <c r="D17">
        <v>4.7160000000000002</v>
      </c>
      <c r="L17">
        <v>1</v>
      </c>
      <c r="M17" s="4">
        <v>4.71</v>
      </c>
      <c r="N17" s="4">
        <v>4.7141000000000002</v>
      </c>
      <c r="O17" s="4">
        <v>4.7137000000000002</v>
      </c>
      <c r="Q17" t="s">
        <v>25</v>
      </c>
      <c r="R17" t="s">
        <v>26</v>
      </c>
    </row>
    <row r="18" spans="1:18" x14ac:dyDescent="0.25">
      <c r="L18">
        <v>5</v>
      </c>
      <c r="M18" s="4">
        <v>4.718</v>
      </c>
      <c r="N18" s="4">
        <v>4.71</v>
      </c>
      <c r="O18" s="4">
        <v>4.7160000000000002</v>
      </c>
      <c r="Q18">
        <v>1</v>
      </c>
      <c r="R18">
        <v>4.71</v>
      </c>
    </row>
    <row r="19" spans="1:18" x14ac:dyDescent="0.25">
      <c r="Q19">
        <v>5</v>
      </c>
      <c r="R19">
        <v>4.718</v>
      </c>
    </row>
    <row r="22" spans="1:18" x14ac:dyDescent="0.25">
      <c r="A22" s="1" t="s">
        <v>8</v>
      </c>
      <c r="B22" s="1" t="s">
        <v>29</v>
      </c>
      <c r="C22" s="1" t="s">
        <v>10</v>
      </c>
    </row>
    <row r="23" spans="1:18" x14ac:dyDescent="0.25">
      <c r="A23">
        <v>1</v>
      </c>
      <c r="B23">
        <v>4.71</v>
      </c>
      <c r="C23">
        <v>96.34</v>
      </c>
    </row>
    <row r="24" spans="1:18" x14ac:dyDescent="0.25">
      <c r="A24">
        <v>2</v>
      </c>
      <c r="B24">
        <v>3.53</v>
      </c>
      <c r="C24">
        <v>94.1</v>
      </c>
    </row>
    <row r="25" spans="1:18" x14ac:dyDescent="0.25">
      <c r="A25">
        <v>4</v>
      </c>
      <c r="B25">
        <v>2.76</v>
      </c>
      <c r="C25">
        <v>88.42</v>
      </c>
    </row>
    <row r="26" spans="1:18" x14ac:dyDescent="0.25">
      <c r="A26">
        <v>8</v>
      </c>
      <c r="B26">
        <v>2.36</v>
      </c>
      <c r="C26">
        <v>77.92</v>
      </c>
    </row>
    <row r="29" spans="1:18" x14ac:dyDescent="0.25">
      <c r="R29" t="s">
        <v>30</v>
      </c>
    </row>
    <row r="30" spans="1:18" x14ac:dyDescent="0.25">
      <c r="Q30">
        <v>1</v>
      </c>
      <c r="R30" s="6">
        <v>4.71</v>
      </c>
    </row>
    <row r="31" spans="1:18" x14ac:dyDescent="0.25">
      <c r="Q31">
        <v>5</v>
      </c>
      <c r="R31" s="6">
        <v>4.718</v>
      </c>
    </row>
    <row r="50" spans="15:15" x14ac:dyDescent="0.25">
      <c r="O50" t="s">
        <v>31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387C-196E-E340-86FC-153800D44A10}">
  <dimension ref="A1:U119"/>
  <sheetViews>
    <sheetView topLeftCell="A7" zoomScale="113" zoomScaleNormal="115" workbookViewId="0">
      <selection activeCell="A16" sqref="A16"/>
    </sheetView>
  </sheetViews>
  <sheetFormatPr defaultColWidth="11" defaultRowHeight="15.75" x14ac:dyDescent="0.25"/>
  <cols>
    <col min="12" max="15" width="11.375" bestFit="1" customWidth="1"/>
  </cols>
  <sheetData>
    <row r="1" spans="1:9" x14ac:dyDescent="0.25">
      <c r="A1" t="s">
        <v>32</v>
      </c>
      <c r="B1" t="s">
        <v>33</v>
      </c>
      <c r="D1" t="s">
        <v>34</v>
      </c>
      <c r="H1" t="s">
        <v>35</v>
      </c>
      <c r="I1" t="s">
        <v>36</v>
      </c>
    </row>
    <row r="2" spans="1:9" x14ac:dyDescent="0.25">
      <c r="G2">
        <v>2.57</v>
      </c>
      <c r="H2">
        <v>1.022</v>
      </c>
      <c r="I2">
        <v>3.08</v>
      </c>
    </row>
    <row r="3" spans="1:9" x14ac:dyDescent="0.25">
      <c r="A3" s="1" t="s">
        <v>37</v>
      </c>
      <c r="B3" s="2" t="s">
        <v>38</v>
      </c>
      <c r="C3" s="1" t="s">
        <v>39</v>
      </c>
      <c r="D3" s="1" t="s">
        <v>40</v>
      </c>
      <c r="E3" s="1" t="s">
        <v>41</v>
      </c>
      <c r="G3" t="s">
        <v>42</v>
      </c>
      <c r="H3" t="s">
        <v>43</v>
      </c>
      <c r="I3" t="s">
        <v>44</v>
      </c>
    </row>
    <row r="4" spans="1:9" x14ac:dyDescent="0.25">
      <c r="A4" s="1">
        <v>2</v>
      </c>
      <c r="B4">
        <v>6.36</v>
      </c>
      <c r="C4">
        <v>8.2100000000000009</v>
      </c>
      <c r="D4">
        <v>12.2</v>
      </c>
      <c r="E4">
        <v>21.221</v>
      </c>
    </row>
    <row r="5" spans="1:9" x14ac:dyDescent="0.25">
      <c r="A5" s="1">
        <v>4</v>
      </c>
      <c r="B5">
        <v>6.96</v>
      </c>
      <c r="C5">
        <v>9.01</v>
      </c>
      <c r="D5">
        <v>13.31</v>
      </c>
      <c r="E5">
        <v>22.14</v>
      </c>
    </row>
    <row r="6" spans="1:9" x14ac:dyDescent="0.25">
      <c r="A6" s="1">
        <v>8</v>
      </c>
      <c r="B6">
        <v>8.2200000000000006</v>
      </c>
      <c r="C6">
        <v>9.43</v>
      </c>
      <c r="D6">
        <v>13.414</v>
      </c>
      <c r="E6">
        <v>22.05</v>
      </c>
      <c r="G6">
        <f>I2/G2</f>
        <v>1.1984435797665371</v>
      </c>
    </row>
    <row r="7" spans="1:9" x14ac:dyDescent="0.25">
      <c r="A7" s="1">
        <v>16</v>
      </c>
      <c r="B7">
        <v>11.31</v>
      </c>
      <c r="C7">
        <v>11.946</v>
      </c>
      <c r="D7">
        <v>17.899999999999999</v>
      </c>
      <c r="E7">
        <v>35.26</v>
      </c>
      <c r="G7">
        <f>I2/H2</f>
        <v>3.0136986301369864</v>
      </c>
    </row>
    <row r="9" spans="1:9" x14ac:dyDescent="0.25">
      <c r="A9" t="s">
        <v>43</v>
      </c>
    </row>
    <row r="10" spans="1:9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9" x14ac:dyDescent="0.25">
      <c r="A11">
        <v>2</v>
      </c>
      <c r="B11">
        <v>6.85</v>
      </c>
      <c r="C11">
        <v>9.06</v>
      </c>
      <c r="D11">
        <v>11.77</v>
      </c>
      <c r="E11">
        <v>18.78</v>
      </c>
    </row>
    <row r="12" spans="1:9" x14ac:dyDescent="0.25">
      <c r="A12">
        <v>4</v>
      </c>
      <c r="B12">
        <v>8.91</v>
      </c>
      <c r="C12">
        <v>10.68</v>
      </c>
      <c r="D12">
        <v>12.23</v>
      </c>
      <c r="E12">
        <v>19.059999999999999</v>
      </c>
    </row>
    <row r="13" spans="1:9" x14ac:dyDescent="0.25">
      <c r="A13">
        <v>8</v>
      </c>
      <c r="B13">
        <v>13.91</v>
      </c>
      <c r="C13">
        <v>12.96</v>
      </c>
      <c r="D13">
        <v>16.39</v>
      </c>
      <c r="E13">
        <v>18.89</v>
      </c>
    </row>
    <row r="14" spans="1:9" x14ac:dyDescent="0.25">
      <c r="A14">
        <v>16</v>
      </c>
      <c r="B14">
        <v>18.78</v>
      </c>
      <c r="C14">
        <v>19.21</v>
      </c>
      <c r="D14">
        <v>19.78</v>
      </c>
      <c r="E14">
        <v>25.14</v>
      </c>
    </row>
    <row r="16" spans="1:9" x14ac:dyDescent="0.25">
      <c r="A16" t="s">
        <v>45</v>
      </c>
      <c r="C16" t="s">
        <v>42</v>
      </c>
    </row>
    <row r="17" spans="1:21" x14ac:dyDescent="0.25">
      <c r="A17" t="s">
        <v>37</v>
      </c>
      <c r="B17" t="s">
        <v>38</v>
      </c>
      <c r="C17" t="s">
        <v>39</v>
      </c>
      <c r="D17" t="s">
        <v>40</v>
      </c>
      <c r="E17" t="s">
        <v>41</v>
      </c>
    </row>
    <row r="18" spans="1:21" x14ac:dyDescent="0.25">
      <c r="A18">
        <v>2</v>
      </c>
      <c r="B18">
        <v>11.28</v>
      </c>
      <c r="C18">
        <v>11.413</v>
      </c>
      <c r="D18">
        <v>16.187000000000001</v>
      </c>
      <c r="E18">
        <v>28.01</v>
      </c>
    </row>
    <row r="19" spans="1:21" x14ac:dyDescent="0.25">
      <c r="A19">
        <v>4</v>
      </c>
      <c r="B19">
        <v>12.24</v>
      </c>
      <c r="C19">
        <v>13.019</v>
      </c>
      <c r="D19">
        <v>19.106000000000002</v>
      </c>
      <c r="E19">
        <v>30.74</v>
      </c>
    </row>
    <row r="20" spans="1:21" x14ac:dyDescent="0.25">
      <c r="A20">
        <v>8</v>
      </c>
      <c r="B20">
        <v>12.89</v>
      </c>
      <c r="C20">
        <v>13.22</v>
      </c>
      <c r="D20">
        <v>19.8</v>
      </c>
      <c r="E20">
        <v>30.943000000000001</v>
      </c>
    </row>
    <row r="21" spans="1:21" x14ac:dyDescent="0.25">
      <c r="A21">
        <v>16</v>
      </c>
      <c r="B21">
        <v>15.536</v>
      </c>
      <c r="C21">
        <v>17.600000000000001</v>
      </c>
      <c r="D21">
        <v>25.6</v>
      </c>
      <c r="E21">
        <v>40.219000000000001</v>
      </c>
    </row>
    <row r="22" spans="1:21" x14ac:dyDescent="0.25">
      <c r="T22" t="s">
        <v>42</v>
      </c>
      <c r="U22">
        <v>2.57</v>
      </c>
    </row>
    <row r="23" spans="1:21" x14ac:dyDescent="0.25">
      <c r="K23" t="s">
        <v>46</v>
      </c>
      <c r="T23" t="s">
        <v>43</v>
      </c>
      <c r="U23">
        <v>1.022</v>
      </c>
    </row>
    <row r="24" spans="1:21" x14ac:dyDescent="0.25">
      <c r="A24" t="s">
        <v>47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T24" t="s">
        <v>44</v>
      </c>
      <c r="U24">
        <v>3.08</v>
      </c>
    </row>
    <row r="25" spans="1:21" x14ac:dyDescent="0.25">
      <c r="A25" t="s">
        <v>48</v>
      </c>
      <c r="D25" t="s">
        <v>49</v>
      </c>
      <c r="G25" t="s">
        <v>35</v>
      </c>
      <c r="K25">
        <v>2</v>
      </c>
      <c r="L25" s="5">
        <f t="shared" ref="L25:O28" si="0">B11/B4</f>
        <v>1.0770440251572326</v>
      </c>
      <c r="M25" s="5">
        <f t="shared" si="0"/>
        <v>1.1035322777101095</v>
      </c>
      <c r="N25" s="5">
        <f t="shared" si="0"/>
        <v>0.96475409836065573</v>
      </c>
      <c r="O25" s="5">
        <f t="shared" si="0"/>
        <v>0.88497243296734374</v>
      </c>
    </row>
    <row r="26" spans="1:21" x14ac:dyDescent="0.25">
      <c r="A26" s="1" t="s">
        <v>12</v>
      </c>
      <c r="B26" s="1" t="s">
        <v>38</v>
      </c>
      <c r="D26" s="1" t="s">
        <v>12</v>
      </c>
      <c r="E26" s="1" t="s">
        <v>38</v>
      </c>
      <c r="G26">
        <v>1.36</v>
      </c>
      <c r="H26">
        <v>4.3769999999999998</v>
      </c>
      <c r="I26">
        <v>4.01</v>
      </c>
      <c r="K26">
        <v>4</v>
      </c>
      <c r="L26" s="5">
        <f t="shared" si="0"/>
        <v>1.2801724137931034</v>
      </c>
      <c r="M26" s="5">
        <f t="shared" si="0"/>
        <v>1.1853496115427302</v>
      </c>
      <c r="N26" s="5">
        <f t="shared" si="0"/>
        <v>0.91885800150262964</v>
      </c>
      <c r="O26" s="5">
        <f t="shared" si="0"/>
        <v>0.86088527551942173</v>
      </c>
    </row>
    <row r="27" spans="1:21" x14ac:dyDescent="0.25">
      <c r="A27" s="3">
        <v>4</v>
      </c>
      <c r="B27">
        <v>4.12</v>
      </c>
      <c r="D27" s="1">
        <v>4</v>
      </c>
      <c r="E27">
        <v>5.74</v>
      </c>
      <c r="G27" t="s">
        <v>49</v>
      </c>
      <c r="H27" t="s">
        <v>50</v>
      </c>
      <c r="I27" t="s">
        <v>51</v>
      </c>
      <c r="K27">
        <v>8</v>
      </c>
      <c r="L27" s="5">
        <f t="shared" si="0"/>
        <v>1.692214111922141</v>
      </c>
      <c r="M27" s="5">
        <f t="shared" si="0"/>
        <v>1.374337221633086</v>
      </c>
      <c r="N27" s="5">
        <f t="shared" si="0"/>
        <v>1.2218577605486804</v>
      </c>
      <c r="O27" s="5">
        <f t="shared" si="0"/>
        <v>0.85668934240362815</v>
      </c>
    </row>
    <row r="28" spans="1:21" x14ac:dyDescent="0.25">
      <c r="A28" s="1">
        <v>8</v>
      </c>
      <c r="B28">
        <v>4.42</v>
      </c>
      <c r="D28" s="1">
        <v>8</v>
      </c>
      <c r="E28">
        <v>6.11</v>
      </c>
      <c r="K28">
        <v>16</v>
      </c>
      <c r="L28" s="5">
        <f t="shared" si="0"/>
        <v>1.6604774535809019</v>
      </c>
      <c r="M28" s="5">
        <f t="shared" si="0"/>
        <v>1.6080696467436799</v>
      </c>
      <c r="N28" s="5">
        <f t="shared" si="0"/>
        <v>1.1050279329608941</v>
      </c>
      <c r="O28" s="5">
        <f t="shared" si="0"/>
        <v>0.71298922291548505</v>
      </c>
    </row>
    <row r="29" spans="1:21" x14ac:dyDescent="0.25">
      <c r="A29" s="1">
        <v>16</v>
      </c>
      <c r="B29">
        <v>7.89</v>
      </c>
      <c r="D29" s="1">
        <v>16</v>
      </c>
      <c r="E29" t="s">
        <v>52</v>
      </c>
    </row>
    <row r="31" spans="1:21" x14ac:dyDescent="0.25">
      <c r="E31" t="s">
        <v>42</v>
      </c>
    </row>
    <row r="32" spans="1:21" x14ac:dyDescent="0.25">
      <c r="E32" s="1" t="s">
        <v>12</v>
      </c>
      <c r="F32" s="1" t="s">
        <v>38</v>
      </c>
    </row>
    <row r="33" spans="1:7" x14ac:dyDescent="0.25">
      <c r="E33" s="1">
        <v>4</v>
      </c>
      <c r="F33">
        <v>5.5030000000000001</v>
      </c>
    </row>
    <row r="34" spans="1:7" x14ac:dyDescent="0.25">
      <c r="B34" t="s">
        <v>53</v>
      </c>
      <c r="E34" s="1">
        <v>8</v>
      </c>
      <c r="F34">
        <v>6.2</v>
      </c>
    </row>
    <row r="35" spans="1:7" x14ac:dyDescent="0.25">
      <c r="C35" t="s">
        <v>48</v>
      </c>
      <c r="E35" s="1">
        <v>16</v>
      </c>
      <c r="F35" t="s">
        <v>52</v>
      </c>
    </row>
    <row r="36" spans="1:7" x14ac:dyDescent="0.25">
      <c r="B36">
        <v>4</v>
      </c>
      <c r="C36">
        <f>E27/B27</f>
        <v>1.3932038834951457</v>
      </c>
    </row>
    <row r="37" spans="1:7" x14ac:dyDescent="0.25">
      <c r="B37">
        <v>8</v>
      </c>
      <c r="C37">
        <f t="shared" ref="C37" si="1">E28/B28</f>
        <v>1.3823529411764708</v>
      </c>
    </row>
    <row r="43" spans="1:7" x14ac:dyDescent="0.25">
      <c r="A43" t="s">
        <v>54</v>
      </c>
      <c r="E43">
        <v>61.94</v>
      </c>
      <c r="F43">
        <v>12.1</v>
      </c>
      <c r="G43">
        <v>86.15</v>
      </c>
    </row>
    <row r="44" spans="1:7" x14ac:dyDescent="0.25">
      <c r="A44" t="s">
        <v>12</v>
      </c>
      <c r="B44" t="s">
        <v>42</v>
      </c>
      <c r="C44" t="s">
        <v>43</v>
      </c>
      <c r="D44" t="s">
        <v>44</v>
      </c>
      <c r="G44">
        <f>G43-E43</f>
        <v>24.210000000000008</v>
      </c>
    </row>
    <row r="45" spans="1:7" x14ac:dyDescent="0.25">
      <c r="A45">
        <v>2</v>
      </c>
      <c r="B45">
        <v>59.68</v>
      </c>
      <c r="C45">
        <v>14.18</v>
      </c>
      <c r="D45">
        <v>81.31</v>
      </c>
      <c r="G45">
        <f>G43-F43</f>
        <v>74.050000000000011</v>
      </c>
    </row>
    <row r="46" spans="1:7" x14ac:dyDescent="0.25">
      <c r="A46">
        <v>4</v>
      </c>
      <c r="B46">
        <v>59.73</v>
      </c>
      <c r="C46">
        <v>14.38</v>
      </c>
      <c r="D46">
        <v>85.33</v>
      </c>
    </row>
    <row r="47" spans="1:7" x14ac:dyDescent="0.25">
      <c r="A47">
        <v>8</v>
      </c>
      <c r="B47">
        <v>62.41</v>
      </c>
      <c r="C47">
        <v>11.12</v>
      </c>
      <c r="D47">
        <v>86.18</v>
      </c>
    </row>
    <row r="48" spans="1:7" x14ac:dyDescent="0.25">
      <c r="A48">
        <v>16</v>
      </c>
      <c r="B48">
        <v>65.92</v>
      </c>
      <c r="C48">
        <v>8.69</v>
      </c>
      <c r="D48">
        <v>91.77</v>
      </c>
    </row>
    <row r="51" spans="10:14" x14ac:dyDescent="0.25">
      <c r="J51" t="s">
        <v>55</v>
      </c>
    </row>
    <row r="53" spans="10:14" x14ac:dyDescent="0.25">
      <c r="J53" t="s">
        <v>56</v>
      </c>
    </row>
    <row r="54" spans="10:14" x14ac:dyDescent="0.25">
      <c r="J54" t="s">
        <v>37</v>
      </c>
      <c r="K54" t="s">
        <v>38</v>
      </c>
      <c r="L54" t="s">
        <v>39</v>
      </c>
      <c r="M54" t="s">
        <v>40</v>
      </c>
      <c r="N54" t="s">
        <v>41</v>
      </c>
    </row>
    <row r="55" spans="10:14" x14ac:dyDescent="0.25">
      <c r="J55">
        <v>2</v>
      </c>
      <c r="K55">
        <v>6.36</v>
      </c>
      <c r="L55">
        <v>8.2100000000000009</v>
      </c>
      <c r="M55">
        <v>12.2</v>
      </c>
      <c r="N55">
        <v>21.221</v>
      </c>
    </row>
    <row r="56" spans="10:14" x14ac:dyDescent="0.25">
      <c r="J56">
        <v>4</v>
      </c>
      <c r="K56">
        <v>6.96</v>
      </c>
      <c r="L56">
        <v>9.01</v>
      </c>
      <c r="M56">
        <v>13.31</v>
      </c>
      <c r="N56">
        <v>22.14</v>
      </c>
    </row>
    <row r="57" spans="10:14" x14ac:dyDescent="0.25">
      <c r="J57">
        <v>8</v>
      </c>
      <c r="K57">
        <v>8.2200000000000006</v>
      </c>
      <c r="L57">
        <v>9.43</v>
      </c>
      <c r="M57">
        <v>13.414</v>
      </c>
      <c r="N57">
        <v>22.05</v>
      </c>
    </row>
    <row r="58" spans="10:14" x14ac:dyDescent="0.25">
      <c r="J58">
        <v>16</v>
      </c>
      <c r="K58">
        <v>11.31</v>
      </c>
      <c r="L58">
        <v>11.946</v>
      </c>
      <c r="M58">
        <v>17.899999999999999</v>
      </c>
      <c r="N58">
        <v>35.26</v>
      </c>
    </row>
    <row r="60" spans="10:14" x14ac:dyDescent="0.25">
      <c r="J60" t="s">
        <v>45</v>
      </c>
      <c r="L60" t="s">
        <v>42</v>
      </c>
    </row>
    <row r="61" spans="10:14" x14ac:dyDescent="0.25">
      <c r="J61" t="s">
        <v>37</v>
      </c>
      <c r="K61" t="s">
        <v>38</v>
      </c>
      <c r="L61" t="s">
        <v>39</v>
      </c>
      <c r="M61" t="s">
        <v>40</v>
      </c>
      <c r="N61" t="s">
        <v>41</v>
      </c>
    </row>
    <row r="62" spans="10:14" x14ac:dyDescent="0.25">
      <c r="J62">
        <v>2</v>
      </c>
      <c r="K62">
        <v>11.28</v>
      </c>
      <c r="L62">
        <v>11.413</v>
      </c>
      <c r="M62">
        <v>16.187000000000001</v>
      </c>
      <c r="N62">
        <v>28.01</v>
      </c>
    </row>
    <row r="63" spans="10:14" x14ac:dyDescent="0.25">
      <c r="J63">
        <v>4</v>
      </c>
      <c r="K63">
        <v>12.24</v>
      </c>
      <c r="L63">
        <v>13.019</v>
      </c>
      <c r="M63">
        <v>19.106000000000002</v>
      </c>
      <c r="N63">
        <v>30.74</v>
      </c>
    </row>
    <row r="64" spans="10:14" x14ac:dyDescent="0.25">
      <c r="J64">
        <v>8</v>
      </c>
      <c r="K64">
        <v>12.89</v>
      </c>
      <c r="L64">
        <v>13.22</v>
      </c>
      <c r="M64">
        <v>19.8</v>
      </c>
      <c r="N64">
        <v>30.943000000000001</v>
      </c>
    </row>
    <row r="65" spans="1:14" x14ac:dyDescent="0.25">
      <c r="J65">
        <v>16</v>
      </c>
      <c r="K65">
        <v>15.536</v>
      </c>
      <c r="L65">
        <v>17.600000000000001</v>
      </c>
      <c r="M65">
        <v>25.6</v>
      </c>
      <c r="N65">
        <v>40.219000000000001</v>
      </c>
    </row>
    <row r="68" spans="1:14" x14ac:dyDescent="0.25">
      <c r="J68" t="s">
        <v>57</v>
      </c>
    </row>
    <row r="69" spans="1:14" x14ac:dyDescent="0.25">
      <c r="A69" t="s">
        <v>58</v>
      </c>
      <c r="J69" t="s">
        <v>37</v>
      </c>
      <c r="K69" t="s">
        <v>38</v>
      </c>
      <c r="L69" t="s">
        <v>39</v>
      </c>
      <c r="M69" t="s">
        <v>40</v>
      </c>
      <c r="N69" t="s">
        <v>41</v>
      </c>
    </row>
    <row r="70" spans="1:14" x14ac:dyDescent="0.25">
      <c r="A70" t="s">
        <v>12</v>
      </c>
      <c r="B70" t="s">
        <v>59</v>
      </c>
      <c r="C70" t="s">
        <v>42</v>
      </c>
      <c r="E70" t="s">
        <v>60</v>
      </c>
      <c r="J70">
        <v>2</v>
      </c>
      <c r="K70" s="5">
        <f t="shared" ref="K70:N73" si="2">K62/K55</f>
        <v>1.7735849056603772</v>
      </c>
      <c r="L70" s="5">
        <f t="shared" si="2"/>
        <v>1.3901339829476247</v>
      </c>
      <c r="M70" s="5">
        <f t="shared" si="2"/>
        <v>1.3268032786885247</v>
      </c>
      <c r="N70" s="5">
        <f t="shared" si="2"/>
        <v>1.3199189482116771</v>
      </c>
    </row>
    <row r="71" spans="1:14" x14ac:dyDescent="0.25">
      <c r="A71">
        <v>2</v>
      </c>
      <c r="B71">
        <v>10.210000000000001</v>
      </c>
      <c r="C71">
        <v>10.18</v>
      </c>
      <c r="E71">
        <f>C71/B71</f>
        <v>0.99706170421155715</v>
      </c>
      <c r="J71">
        <v>4</v>
      </c>
      <c r="K71" s="5">
        <f t="shared" si="2"/>
        <v>1.7586206896551724</v>
      </c>
      <c r="L71" s="5">
        <f t="shared" si="2"/>
        <v>1.4449500554938957</v>
      </c>
      <c r="M71" s="5">
        <f t="shared" si="2"/>
        <v>1.4354620586025546</v>
      </c>
      <c r="N71" s="5">
        <f t="shared" si="2"/>
        <v>1.3884372177055102</v>
      </c>
    </row>
    <row r="72" spans="1:14" x14ac:dyDescent="0.25">
      <c r="A72">
        <v>4</v>
      </c>
      <c r="B72">
        <v>11.78</v>
      </c>
      <c r="C72">
        <v>12.6</v>
      </c>
      <c r="E72">
        <f t="shared" ref="E72:E74" si="3">C72/B72</f>
        <v>1.069609507640068</v>
      </c>
      <c r="J72">
        <v>8</v>
      </c>
      <c r="K72" s="5">
        <f t="shared" si="2"/>
        <v>1.5681265206812651</v>
      </c>
      <c r="L72" s="5">
        <f t="shared" si="2"/>
        <v>1.4019088016967127</v>
      </c>
      <c r="M72" s="5">
        <f t="shared" si="2"/>
        <v>1.4760697778440437</v>
      </c>
      <c r="N72" s="5">
        <f t="shared" si="2"/>
        <v>1.4033106575963719</v>
      </c>
    </row>
    <row r="73" spans="1:14" x14ac:dyDescent="0.25">
      <c r="A73">
        <v>8</v>
      </c>
      <c r="B73">
        <v>12.2</v>
      </c>
      <c r="C73">
        <v>20.11</v>
      </c>
      <c r="E73">
        <f t="shared" si="3"/>
        <v>1.6483606557377051</v>
      </c>
      <c r="J73">
        <v>16</v>
      </c>
      <c r="K73" s="5">
        <f t="shared" si="2"/>
        <v>1.3736516357206012</v>
      </c>
      <c r="L73" s="5">
        <f t="shared" si="2"/>
        <v>1.4732965009208105</v>
      </c>
      <c r="M73" s="5">
        <f t="shared" si="2"/>
        <v>1.4301675977653634</v>
      </c>
      <c r="N73" s="5">
        <f t="shared" si="2"/>
        <v>1.1406409529211572</v>
      </c>
    </row>
    <row r="74" spans="1:14" x14ac:dyDescent="0.25">
      <c r="A74">
        <v>16</v>
      </c>
      <c r="B74">
        <v>21</v>
      </c>
      <c r="C74">
        <v>0</v>
      </c>
      <c r="D74" t="s">
        <v>61</v>
      </c>
      <c r="E74">
        <f t="shared" si="3"/>
        <v>0</v>
      </c>
    </row>
    <row r="77" spans="1:14" x14ac:dyDescent="0.25">
      <c r="A77" t="s">
        <v>62</v>
      </c>
      <c r="F77" t="s">
        <v>12</v>
      </c>
      <c r="G77" t="s">
        <v>60</v>
      </c>
    </row>
    <row r="78" spans="1:14" x14ac:dyDescent="0.25">
      <c r="A78" t="s">
        <v>63</v>
      </c>
      <c r="B78">
        <v>2.27</v>
      </c>
      <c r="F78">
        <v>2</v>
      </c>
      <c r="G78">
        <v>0.99706170421155715</v>
      </c>
    </row>
    <row r="79" spans="1:14" x14ac:dyDescent="0.25">
      <c r="A79" t="s">
        <v>64</v>
      </c>
      <c r="B79">
        <v>0.90700000000000003</v>
      </c>
      <c r="F79">
        <v>4</v>
      </c>
      <c r="G79">
        <v>1.069609507640068</v>
      </c>
    </row>
    <row r="80" spans="1:14" x14ac:dyDescent="0.25">
      <c r="A80" t="s">
        <v>65</v>
      </c>
      <c r="B80">
        <v>0.78</v>
      </c>
      <c r="F80">
        <v>8</v>
      </c>
      <c r="G80">
        <v>1.6483606557377051</v>
      </c>
    </row>
    <row r="81" spans="6:7" x14ac:dyDescent="0.25">
      <c r="F81">
        <v>16</v>
      </c>
      <c r="G81">
        <v>0</v>
      </c>
    </row>
    <row r="106" spans="1:19" x14ac:dyDescent="0.25">
      <c r="A106" t="s">
        <v>47</v>
      </c>
    </row>
    <row r="107" spans="1:19" x14ac:dyDescent="0.25">
      <c r="A107" t="s">
        <v>48</v>
      </c>
      <c r="D107" t="s">
        <v>49</v>
      </c>
      <c r="G107" t="s">
        <v>43</v>
      </c>
      <c r="H107" t="s">
        <v>42</v>
      </c>
      <c r="I107" t="s">
        <v>44</v>
      </c>
      <c r="R107" t="s">
        <v>66</v>
      </c>
    </row>
    <row r="108" spans="1:19" x14ac:dyDescent="0.25">
      <c r="A108" s="1" t="s">
        <v>12</v>
      </c>
      <c r="B108" s="1" t="s">
        <v>38</v>
      </c>
      <c r="D108" s="1" t="s">
        <v>12</v>
      </c>
      <c r="E108" s="1" t="s">
        <v>38</v>
      </c>
      <c r="G108">
        <v>1.36</v>
      </c>
      <c r="H108">
        <v>4.01</v>
      </c>
      <c r="I108">
        <v>4.3769999999999998</v>
      </c>
      <c r="M108" t="s">
        <v>44</v>
      </c>
      <c r="N108" t="s">
        <v>43</v>
      </c>
      <c r="O108" t="s">
        <v>42</v>
      </c>
      <c r="R108" t="s">
        <v>43</v>
      </c>
      <c r="S108" t="s">
        <v>42</v>
      </c>
    </row>
    <row r="109" spans="1:19" x14ac:dyDescent="0.25">
      <c r="A109" s="3">
        <v>4</v>
      </c>
      <c r="B109">
        <v>4.12</v>
      </c>
      <c r="D109" s="1">
        <v>4</v>
      </c>
      <c r="E109">
        <v>5.74</v>
      </c>
      <c r="L109">
        <v>4</v>
      </c>
      <c r="M109">
        <v>4.12</v>
      </c>
      <c r="N109">
        <v>5.74</v>
      </c>
      <c r="O109">
        <v>5.5030000000000001</v>
      </c>
      <c r="Q109">
        <v>4</v>
      </c>
      <c r="R109">
        <f>N109/M109</f>
        <v>1.3932038834951457</v>
      </c>
      <c r="S109">
        <f>O109/M109</f>
        <v>1.3356796116504854</v>
      </c>
    </row>
    <row r="110" spans="1:19" x14ac:dyDescent="0.25">
      <c r="A110" s="1">
        <v>8</v>
      </c>
      <c r="B110">
        <v>4.42</v>
      </c>
      <c r="D110" s="1">
        <v>8</v>
      </c>
      <c r="E110">
        <v>6.11</v>
      </c>
      <c r="H110">
        <f>I108/H108</f>
        <v>1.0915211970074814</v>
      </c>
      <c r="L110">
        <v>8</v>
      </c>
      <c r="M110">
        <v>4.42</v>
      </c>
      <c r="N110">
        <v>6.11</v>
      </c>
      <c r="O110">
        <v>6.2</v>
      </c>
      <c r="Q110">
        <v>8</v>
      </c>
      <c r="R110">
        <f>N110/M110</f>
        <v>1.3823529411764708</v>
      </c>
      <c r="S110">
        <f>O110/M110</f>
        <v>1.402714932126697</v>
      </c>
    </row>
    <row r="111" spans="1:19" x14ac:dyDescent="0.25">
      <c r="A111" s="1">
        <v>16</v>
      </c>
      <c r="B111">
        <v>7.89</v>
      </c>
      <c r="D111" s="1">
        <v>16</v>
      </c>
      <c r="E111" t="s">
        <v>52</v>
      </c>
      <c r="H111">
        <f>I108/G108</f>
        <v>3.2183823529411759</v>
      </c>
      <c r="L111">
        <v>16</v>
      </c>
      <c r="M111">
        <v>7.89</v>
      </c>
      <c r="N111" t="s">
        <v>52</v>
      </c>
      <c r="O111" t="s">
        <v>52</v>
      </c>
      <c r="Q111">
        <v>16</v>
      </c>
      <c r="R111">
        <v>0</v>
      </c>
      <c r="S111">
        <v>0</v>
      </c>
    </row>
    <row r="113" spans="2:15" x14ac:dyDescent="0.25">
      <c r="E113" t="s">
        <v>42</v>
      </c>
    </row>
    <row r="114" spans="2:15" x14ac:dyDescent="0.25">
      <c r="E114" s="1" t="s">
        <v>12</v>
      </c>
      <c r="F114" s="1" t="s">
        <v>38</v>
      </c>
      <c r="M114">
        <v>4</v>
      </c>
      <c r="N114">
        <v>8</v>
      </c>
      <c r="O114">
        <v>16</v>
      </c>
    </row>
    <row r="115" spans="2:15" x14ac:dyDescent="0.25">
      <c r="E115" s="1">
        <v>4</v>
      </c>
      <c r="F115">
        <v>5.5030000000000001</v>
      </c>
      <c r="L115" t="s">
        <v>44</v>
      </c>
      <c r="M115">
        <v>4.12</v>
      </c>
      <c r="N115">
        <v>4.42</v>
      </c>
      <c r="O115">
        <v>7.89</v>
      </c>
    </row>
    <row r="116" spans="2:15" x14ac:dyDescent="0.25">
      <c r="B116" t="s">
        <v>53</v>
      </c>
      <c r="E116" s="1">
        <v>8</v>
      </c>
      <c r="F116">
        <v>6.2</v>
      </c>
      <c r="L116" t="s">
        <v>43</v>
      </c>
      <c r="M116">
        <v>5.74</v>
      </c>
      <c r="N116">
        <v>6.11</v>
      </c>
      <c r="O116" t="s">
        <v>52</v>
      </c>
    </row>
    <row r="117" spans="2:15" x14ac:dyDescent="0.25">
      <c r="C117" t="s">
        <v>48</v>
      </c>
      <c r="E117" s="1">
        <v>16</v>
      </c>
      <c r="F117" t="s">
        <v>52</v>
      </c>
      <c r="L117" t="s">
        <v>42</v>
      </c>
      <c r="M117">
        <v>5.5030000000000001</v>
      </c>
      <c r="N117">
        <v>6.2</v>
      </c>
      <c r="O117" t="s">
        <v>52</v>
      </c>
    </row>
    <row r="118" spans="2:15" x14ac:dyDescent="0.25">
      <c r="B118">
        <v>4</v>
      </c>
      <c r="C118">
        <f>E109/B109</f>
        <v>1.3932038834951457</v>
      </c>
    </row>
    <row r="119" spans="2:15" x14ac:dyDescent="0.25">
      <c r="B119">
        <v>8</v>
      </c>
      <c r="C119">
        <f t="shared" ref="C119" si="4">E110/B110</f>
        <v>1.3823529411764708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18DD-F5F9-4541-9130-50000D615733}">
  <dimension ref="E13:H19"/>
  <sheetViews>
    <sheetView topLeftCell="C10" workbookViewId="0">
      <selection activeCell="A16" sqref="A16:XFD16"/>
    </sheetView>
  </sheetViews>
  <sheetFormatPr defaultRowHeight="15.75" x14ac:dyDescent="0.25"/>
  <cols>
    <col min="5" max="5" width="21.375" customWidth="1"/>
    <col min="6" max="6" width="17.375" customWidth="1"/>
    <col min="7" max="7" width="13.25" customWidth="1"/>
  </cols>
  <sheetData>
    <row r="13" spans="5:8" x14ac:dyDescent="0.25">
      <c r="F13" t="s">
        <v>67</v>
      </c>
      <c r="G13" t="s">
        <v>68</v>
      </c>
      <c r="H13" t="s">
        <v>69</v>
      </c>
    </row>
    <row r="14" spans="5:8" ht="16.5" x14ac:dyDescent="0.3">
      <c r="E14" t="s">
        <v>70</v>
      </c>
      <c r="F14" t="s">
        <v>71</v>
      </c>
      <c r="G14" t="s">
        <v>72</v>
      </c>
      <c r="H14" s="7" t="s">
        <v>73</v>
      </c>
    </row>
    <row r="15" spans="5:8" x14ac:dyDescent="0.25">
      <c r="E15" t="s">
        <v>74</v>
      </c>
      <c r="F15">
        <v>12</v>
      </c>
      <c r="G15">
        <v>24</v>
      </c>
      <c r="H15">
        <v>128</v>
      </c>
    </row>
    <row r="16" spans="5:8" x14ac:dyDescent="0.25">
      <c r="E16" t="s">
        <v>75</v>
      </c>
      <c r="F16">
        <v>64</v>
      </c>
      <c r="G16">
        <v>128</v>
      </c>
      <c r="H16">
        <v>2048</v>
      </c>
    </row>
    <row r="17" spans="5:8" x14ac:dyDescent="0.25">
      <c r="E17" t="s">
        <v>76</v>
      </c>
      <c r="F17" t="s">
        <v>77</v>
      </c>
      <c r="G17" t="s">
        <v>78</v>
      </c>
      <c r="H17" t="s">
        <v>79</v>
      </c>
    </row>
    <row r="18" spans="5:8" x14ac:dyDescent="0.25">
      <c r="E18" t="s">
        <v>80</v>
      </c>
      <c r="F18">
        <v>64</v>
      </c>
      <c r="G18">
        <v>24</v>
      </c>
      <c r="H18">
        <v>80</v>
      </c>
    </row>
    <row r="19" spans="5:8" x14ac:dyDescent="0.25">
      <c r="E19" t="s">
        <v>81</v>
      </c>
      <c r="F19" t="s">
        <v>77</v>
      </c>
      <c r="G19" t="s">
        <v>82</v>
      </c>
      <c r="H19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72A5-9B90-40D7-93CC-A8444F355912}">
  <dimension ref="B1:F35"/>
  <sheetViews>
    <sheetView topLeftCell="A3" workbookViewId="0">
      <selection activeCell="C15" sqref="C15:C20"/>
    </sheetView>
  </sheetViews>
  <sheetFormatPr defaultRowHeight="15.75" x14ac:dyDescent="0.25"/>
  <cols>
    <col min="4" max="4" width="14.625" bestFit="1" customWidth="1"/>
    <col min="5" max="5" width="12.75" bestFit="1" customWidth="1"/>
    <col min="6" max="6" width="17.625" bestFit="1" customWidth="1"/>
  </cols>
  <sheetData>
    <row r="1" spans="2:6" ht="16.5" thickBot="1" x14ac:dyDescent="0.3"/>
    <row r="2" spans="2:6" ht="16.5" thickBot="1" x14ac:dyDescent="0.3">
      <c r="B2" s="103" t="s">
        <v>102</v>
      </c>
      <c r="C2" s="111" t="s">
        <v>92</v>
      </c>
      <c r="D2" s="61" t="s">
        <v>94</v>
      </c>
      <c r="E2" s="62" t="s">
        <v>93</v>
      </c>
    </row>
    <row r="3" spans="2:6" x14ac:dyDescent="0.25">
      <c r="B3" s="104"/>
      <c r="C3" s="112"/>
      <c r="D3" s="59">
        <v>1</v>
      </c>
      <c r="E3" s="60">
        <v>8.77</v>
      </c>
    </row>
    <row r="4" spans="2:6" x14ac:dyDescent="0.25">
      <c r="B4" s="104"/>
      <c r="C4" s="112"/>
      <c r="D4" s="57">
        <v>2</v>
      </c>
      <c r="E4" s="55">
        <v>5.84</v>
      </c>
    </row>
    <row r="5" spans="2:6" x14ac:dyDescent="0.25">
      <c r="B5" s="104"/>
      <c r="C5" s="112"/>
      <c r="D5" s="57">
        <v>4</v>
      </c>
      <c r="E5" s="55">
        <v>4.9349999999999996</v>
      </c>
    </row>
    <row r="6" spans="2:6" x14ac:dyDescent="0.25">
      <c r="B6" s="104"/>
      <c r="C6" s="112"/>
      <c r="D6" s="57">
        <v>8</v>
      </c>
      <c r="E6" s="55">
        <v>4.12</v>
      </c>
    </row>
    <row r="7" spans="2:6" ht="16.5" thickBot="1" x14ac:dyDescent="0.3">
      <c r="B7" s="104"/>
      <c r="C7" s="113"/>
      <c r="D7" s="58">
        <v>16</v>
      </c>
      <c r="E7" s="56">
        <v>3.72</v>
      </c>
    </row>
    <row r="8" spans="2:6" ht="16.5" thickBot="1" x14ac:dyDescent="0.3">
      <c r="B8" s="105"/>
    </row>
    <row r="9" spans="2:6" ht="15.95" customHeight="1" thickBot="1" x14ac:dyDescent="0.3">
      <c r="B9" s="104"/>
      <c r="C9" s="108" t="s">
        <v>110</v>
      </c>
      <c r="D9" s="61" t="s">
        <v>105</v>
      </c>
      <c r="E9" s="62" t="s">
        <v>93</v>
      </c>
    </row>
    <row r="10" spans="2:6" x14ac:dyDescent="0.25">
      <c r="B10" s="104"/>
      <c r="C10" s="109"/>
      <c r="D10" s="59">
        <v>1</v>
      </c>
      <c r="E10" s="60">
        <v>2.11</v>
      </c>
    </row>
    <row r="11" spans="2:6" x14ac:dyDescent="0.25">
      <c r="B11" s="104"/>
      <c r="C11" s="109"/>
      <c r="D11" s="57">
        <v>2</v>
      </c>
      <c r="E11" s="55">
        <v>3.72</v>
      </c>
    </row>
    <row r="12" spans="2:6" x14ac:dyDescent="0.25">
      <c r="B12" s="104"/>
      <c r="C12" s="109"/>
      <c r="D12" s="57">
        <v>4</v>
      </c>
      <c r="E12" s="55">
        <v>7.4489999999999998</v>
      </c>
    </row>
    <row r="13" spans="2:6" ht="16.5" thickBot="1" x14ac:dyDescent="0.3">
      <c r="B13" s="104"/>
      <c r="C13" s="110"/>
      <c r="D13" s="58">
        <v>8</v>
      </c>
      <c r="E13" s="56">
        <v>12.069000000000001</v>
      </c>
    </row>
    <row r="14" spans="2:6" ht="16.5" thickBot="1" x14ac:dyDescent="0.3">
      <c r="B14" s="105"/>
    </row>
    <row r="15" spans="2:6" ht="16.5" thickBot="1" x14ac:dyDescent="0.3">
      <c r="B15" s="105"/>
      <c r="C15" s="108" t="s">
        <v>111</v>
      </c>
      <c r="D15" s="46" t="s">
        <v>37</v>
      </c>
      <c r="E15" s="64" t="s">
        <v>95</v>
      </c>
      <c r="F15" s="62" t="s">
        <v>96</v>
      </c>
    </row>
    <row r="16" spans="2:6" x14ac:dyDescent="0.25">
      <c r="B16" s="105"/>
      <c r="C16" s="109"/>
      <c r="D16" s="48">
        <v>2</v>
      </c>
      <c r="E16" s="63">
        <v>0.6</v>
      </c>
      <c r="F16" s="60">
        <v>4.4080000000000004</v>
      </c>
    </row>
    <row r="17" spans="2:6" x14ac:dyDescent="0.25">
      <c r="B17" s="105"/>
      <c r="C17" s="109"/>
      <c r="D17" s="50">
        <v>4</v>
      </c>
      <c r="E17" s="42">
        <v>3.36</v>
      </c>
      <c r="F17" s="55">
        <v>0.75390000000000001</v>
      </c>
    </row>
    <row r="18" spans="2:6" x14ac:dyDescent="0.25">
      <c r="B18" s="105"/>
      <c r="C18" s="109"/>
      <c r="D18" s="50">
        <v>8</v>
      </c>
      <c r="E18" s="42">
        <v>3.36</v>
      </c>
      <c r="F18" s="55">
        <v>1.79</v>
      </c>
    </row>
    <row r="19" spans="2:6" x14ac:dyDescent="0.25">
      <c r="B19" s="105"/>
      <c r="C19" s="109"/>
      <c r="D19" s="50">
        <v>16</v>
      </c>
      <c r="E19" s="42">
        <v>3.36</v>
      </c>
      <c r="F19" s="55">
        <v>3.81</v>
      </c>
    </row>
    <row r="20" spans="2:6" ht="16.5" thickBot="1" x14ac:dyDescent="0.3">
      <c r="B20" s="106"/>
      <c r="C20" s="110"/>
      <c r="D20" s="65">
        <v>32</v>
      </c>
      <c r="E20" s="66">
        <v>3.36</v>
      </c>
      <c r="F20" s="67">
        <v>224.58</v>
      </c>
    </row>
    <row r="22" spans="2:6" ht="16.5" thickBot="1" x14ac:dyDescent="0.3"/>
    <row r="23" spans="2:6" ht="16.5" thickBot="1" x14ac:dyDescent="0.3">
      <c r="B23" s="107" t="s">
        <v>4</v>
      </c>
      <c r="C23" s="114" t="s">
        <v>103</v>
      </c>
      <c r="D23" s="46" t="s">
        <v>37</v>
      </c>
      <c r="E23" s="47" t="s">
        <v>93</v>
      </c>
    </row>
    <row r="24" spans="2:6" x14ac:dyDescent="0.25">
      <c r="B24" s="105"/>
      <c r="C24" s="109"/>
      <c r="D24" s="48">
        <v>2</v>
      </c>
      <c r="E24" s="49">
        <v>5.4600000000000003E-2</v>
      </c>
    </row>
    <row r="25" spans="2:6" x14ac:dyDescent="0.25">
      <c r="B25" s="105"/>
      <c r="C25" s="109"/>
      <c r="D25" s="50">
        <v>4</v>
      </c>
      <c r="E25" s="51">
        <v>9.8900000000000002E-2</v>
      </c>
    </row>
    <row r="26" spans="2:6" x14ac:dyDescent="0.25">
      <c r="B26" s="105"/>
      <c r="C26" s="109"/>
      <c r="D26" s="50">
        <v>8</v>
      </c>
      <c r="E26" s="51">
        <v>0.25600000000000001</v>
      </c>
    </row>
    <row r="27" spans="2:6" x14ac:dyDescent="0.25">
      <c r="B27" s="105"/>
      <c r="C27" s="109"/>
      <c r="D27" s="50">
        <v>16</v>
      </c>
      <c r="E27" s="51">
        <v>0.55149999999999999</v>
      </c>
    </row>
    <row r="28" spans="2:6" ht="16.5" thickBot="1" x14ac:dyDescent="0.3">
      <c r="B28" s="105"/>
      <c r="C28" s="110"/>
      <c r="D28" s="65">
        <v>32</v>
      </c>
      <c r="E28" s="68">
        <v>0.98360000000000003</v>
      </c>
    </row>
    <row r="29" spans="2:6" ht="16.5" thickBot="1" x14ac:dyDescent="0.3">
      <c r="B29" s="105"/>
    </row>
    <row r="30" spans="2:6" ht="16.5" thickBot="1" x14ac:dyDescent="0.3">
      <c r="B30" s="105"/>
      <c r="C30" s="114" t="s">
        <v>104</v>
      </c>
      <c r="D30" s="46" t="s">
        <v>94</v>
      </c>
      <c r="E30" s="64" t="s">
        <v>97</v>
      </c>
      <c r="F30" s="47" t="s">
        <v>98</v>
      </c>
    </row>
    <row r="31" spans="2:6" x14ac:dyDescent="0.25">
      <c r="B31" s="105"/>
      <c r="C31" s="109"/>
      <c r="D31" s="48">
        <v>1</v>
      </c>
      <c r="E31" s="45">
        <v>0.3624</v>
      </c>
      <c r="F31" s="49">
        <v>0.52569999999999995</v>
      </c>
    </row>
    <row r="32" spans="2:6" x14ac:dyDescent="0.25">
      <c r="B32" s="105"/>
      <c r="C32" s="109"/>
      <c r="D32" s="50">
        <v>2</v>
      </c>
      <c r="E32" s="44">
        <v>0.309</v>
      </c>
      <c r="F32" s="51">
        <v>0.56999999999999995</v>
      </c>
    </row>
    <row r="33" spans="2:6" x14ac:dyDescent="0.25">
      <c r="B33" s="105"/>
      <c r="C33" s="109"/>
      <c r="D33" s="50">
        <v>4</v>
      </c>
      <c r="E33" s="44">
        <v>0.21</v>
      </c>
      <c r="F33" s="51">
        <v>0.34</v>
      </c>
    </row>
    <row r="34" spans="2:6" x14ac:dyDescent="0.25">
      <c r="B34" s="105"/>
      <c r="C34" s="109"/>
      <c r="D34" s="50">
        <v>8</v>
      </c>
      <c r="E34" s="44">
        <v>0.11</v>
      </c>
      <c r="F34" s="51">
        <v>0.23</v>
      </c>
    </row>
    <row r="35" spans="2:6" ht="16.5" thickBot="1" x14ac:dyDescent="0.3">
      <c r="B35" s="106"/>
      <c r="C35" s="110"/>
      <c r="D35" s="52">
        <v>16</v>
      </c>
      <c r="E35" s="54">
        <v>7.0000000000000007E-2</v>
      </c>
      <c r="F35" s="53">
        <v>0.21</v>
      </c>
    </row>
  </sheetData>
  <mergeCells count="7">
    <mergeCell ref="B2:B20"/>
    <mergeCell ref="B23:B35"/>
    <mergeCell ref="C9:C13"/>
    <mergeCell ref="C2:C7"/>
    <mergeCell ref="C15:C20"/>
    <mergeCell ref="C30:C35"/>
    <mergeCell ref="C23:C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5052-EE46-4D4C-B1DB-5A9DEE90AECC}">
  <dimension ref="A1"/>
  <sheetViews>
    <sheetView workbookViewId="0">
      <selection sqref="A1:A3"/>
    </sheetView>
  </sheetViews>
  <sheetFormatPr defaultRowHeight="15.7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DCCA-8ED5-4C44-B48A-31F81AD858A8}">
  <dimension ref="A1:T31"/>
  <sheetViews>
    <sheetView topLeftCell="D7" zoomScale="91" workbookViewId="0">
      <selection activeCell="O9" sqref="O9:T31"/>
    </sheetView>
  </sheetViews>
  <sheetFormatPr defaultRowHeight="15.75" x14ac:dyDescent="0.25"/>
  <cols>
    <col min="1" max="1" width="14" bestFit="1" customWidth="1"/>
    <col min="2" max="2" width="9.375" bestFit="1" customWidth="1"/>
    <col min="4" max="6" width="8.75" bestFit="1" customWidth="1"/>
    <col min="9" max="9" width="9.375" bestFit="1" customWidth="1"/>
    <col min="10" max="13" width="11.625" bestFit="1" customWidth="1"/>
    <col min="16" max="16" width="9.375" bestFit="1" customWidth="1"/>
    <col min="17" max="20" width="8.75" bestFit="1" customWidth="1"/>
  </cols>
  <sheetData>
    <row r="1" spans="1:20" x14ac:dyDescent="0.25">
      <c r="C1" t="s">
        <v>107</v>
      </c>
    </row>
    <row r="2" spans="1:20" ht="15.95" customHeight="1" x14ac:dyDescent="0.25">
      <c r="A2" s="124" t="s">
        <v>90</v>
      </c>
      <c r="B2" s="17"/>
      <c r="C2" s="124" t="s">
        <v>89</v>
      </c>
      <c r="D2" s="124"/>
      <c r="E2" s="124"/>
      <c r="F2" s="124"/>
      <c r="G2" s="14"/>
      <c r="H2" s="14"/>
      <c r="I2" s="14"/>
      <c r="J2" s="14"/>
      <c r="K2" s="14"/>
      <c r="L2" s="14"/>
      <c r="M2" s="14"/>
    </row>
    <row r="3" spans="1:20" x14ac:dyDescent="0.25">
      <c r="A3" s="124"/>
      <c r="B3" s="30" t="s">
        <v>37</v>
      </c>
      <c r="C3" s="13" t="s">
        <v>87</v>
      </c>
      <c r="D3" s="13" t="s">
        <v>84</v>
      </c>
      <c r="E3" s="13" t="s">
        <v>85</v>
      </c>
      <c r="F3" s="13" t="s">
        <v>86</v>
      </c>
      <c r="G3" s="14"/>
      <c r="H3" s="14"/>
      <c r="I3" s="14"/>
      <c r="J3" s="14"/>
      <c r="K3" s="14"/>
      <c r="L3" s="14"/>
      <c r="M3" s="14"/>
    </row>
    <row r="4" spans="1:20" x14ac:dyDescent="0.25">
      <c r="A4" s="125" t="s">
        <v>88</v>
      </c>
      <c r="B4" s="16">
        <v>2</v>
      </c>
      <c r="C4" s="16">
        <v>3.47</v>
      </c>
      <c r="D4" s="16">
        <v>3.78</v>
      </c>
      <c r="E4" s="16">
        <v>4.468</v>
      </c>
      <c r="F4" s="16">
        <v>5.9459999999999997</v>
      </c>
      <c r="G4" s="14"/>
      <c r="H4" s="16">
        <v>2</v>
      </c>
      <c r="I4" s="16">
        <v>6.85</v>
      </c>
      <c r="J4" s="16">
        <v>9.08</v>
      </c>
      <c r="K4" s="16">
        <v>11.77</v>
      </c>
      <c r="L4" s="16">
        <v>18.776</v>
      </c>
      <c r="M4" s="14"/>
    </row>
    <row r="5" spans="1:20" x14ac:dyDescent="0.25">
      <c r="A5" s="125"/>
      <c r="B5" s="16">
        <v>4</v>
      </c>
      <c r="C5" s="16">
        <v>3.7469999999999999</v>
      </c>
      <c r="D5" s="16">
        <v>4.0869999999999997</v>
      </c>
      <c r="E5" s="16">
        <v>4.8789999999999996</v>
      </c>
      <c r="F5" s="16">
        <v>6.55</v>
      </c>
      <c r="G5" s="14"/>
      <c r="H5" s="16">
        <v>4</v>
      </c>
      <c r="I5" s="16">
        <v>8.91</v>
      </c>
      <c r="J5" s="16">
        <v>10.68</v>
      </c>
      <c r="K5" s="16">
        <v>12.23</v>
      </c>
      <c r="L5" s="16">
        <v>19.059999999999999</v>
      </c>
      <c r="M5" s="14"/>
    </row>
    <row r="6" spans="1:20" x14ac:dyDescent="0.25">
      <c r="A6" s="125"/>
      <c r="B6" s="16">
        <v>8</v>
      </c>
      <c r="C6" s="16">
        <v>4.29</v>
      </c>
      <c r="D6" s="16">
        <v>5.0270000000000001</v>
      </c>
      <c r="E6" s="16">
        <v>6.4969999999999999</v>
      </c>
      <c r="F6" s="16">
        <v>9.86</v>
      </c>
      <c r="G6" s="14"/>
      <c r="H6" s="14"/>
      <c r="I6" s="14"/>
      <c r="J6" s="14"/>
      <c r="K6" s="14"/>
      <c r="L6" s="14"/>
      <c r="M6" s="14"/>
    </row>
    <row r="7" spans="1:20" ht="16.5" thickBot="1" x14ac:dyDescent="0.3">
      <c r="A7" s="125"/>
      <c r="B7" s="16">
        <v>16</v>
      </c>
      <c r="C7" s="16">
        <v>8.3170000000000002</v>
      </c>
      <c r="D7" s="16">
        <v>9.7200000000000006</v>
      </c>
      <c r="E7" s="16">
        <v>12.97</v>
      </c>
      <c r="F7" s="16">
        <v>25.47</v>
      </c>
      <c r="G7" s="14"/>
      <c r="H7" s="14"/>
      <c r="I7" s="14"/>
      <c r="J7" s="14"/>
      <c r="K7" s="14"/>
      <c r="L7" s="14"/>
      <c r="M7" s="14"/>
    </row>
    <row r="8" spans="1:20" ht="15.75" customHeight="1" thickBot="1" x14ac:dyDescent="0.3">
      <c r="A8" s="15"/>
      <c r="B8" s="17"/>
      <c r="C8" s="124" t="s">
        <v>89</v>
      </c>
      <c r="D8" s="124"/>
      <c r="E8" s="124"/>
      <c r="F8" s="124"/>
      <c r="G8" s="14"/>
      <c r="H8" s="15"/>
      <c r="I8" s="17"/>
      <c r="J8" s="124" t="s">
        <v>89</v>
      </c>
      <c r="K8" s="124"/>
      <c r="L8" s="124"/>
      <c r="M8" s="124"/>
      <c r="O8" s="128" t="s">
        <v>99</v>
      </c>
      <c r="P8" s="129"/>
      <c r="Q8" s="129"/>
      <c r="R8" s="129"/>
      <c r="S8" s="129"/>
      <c r="T8" s="130"/>
    </row>
    <row r="9" spans="1:20" ht="16.5" thickBot="1" x14ac:dyDescent="0.3">
      <c r="A9" s="14"/>
      <c r="B9" s="30" t="s">
        <v>37</v>
      </c>
      <c r="C9" s="13" t="s">
        <v>87</v>
      </c>
      <c r="D9" s="13" t="s">
        <v>84</v>
      </c>
      <c r="E9" s="13" t="s">
        <v>85</v>
      </c>
      <c r="F9" s="13" t="s">
        <v>86</v>
      </c>
      <c r="G9" s="14"/>
      <c r="H9" s="14"/>
      <c r="I9" s="18" t="s">
        <v>37</v>
      </c>
      <c r="J9" s="13" t="s">
        <v>87</v>
      </c>
      <c r="K9" s="13" t="s">
        <v>84</v>
      </c>
      <c r="L9" s="13" t="s">
        <v>85</v>
      </c>
      <c r="M9" s="13" t="s">
        <v>86</v>
      </c>
      <c r="O9" s="118" t="s">
        <v>137</v>
      </c>
      <c r="P9" s="19" t="s">
        <v>37</v>
      </c>
      <c r="Q9" s="20" t="s">
        <v>87</v>
      </c>
      <c r="R9" s="20" t="s">
        <v>84</v>
      </c>
      <c r="S9" s="20" t="s">
        <v>85</v>
      </c>
      <c r="T9" s="21" t="s">
        <v>86</v>
      </c>
    </row>
    <row r="10" spans="1:20" x14ac:dyDescent="0.25">
      <c r="A10" s="125" t="s">
        <v>91</v>
      </c>
      <c r="B10" s="16">
        <v>2</v>
      </c>
      <c r="C10" s="16">
        <v>4.54</v>
      </c>
      <c r="D10" s="16">
        <v>4.66</v>
      </c>
      <c r="E10" s="16">
        <v>16.18</v>
      </c>
      <c r="F10" s="16">
        <v>57.48</v>
      </c>
      <c r="G10" s="14"/>
      <c r="H10" s="125" t="s">
        <v>91</v>
      </c>
      <c r="I10" s="16">
        <v>2</v>
      </c>
      <c r="J10" s="16">
        <f>C10/C4</f>
        <v>1.3083573487031699</v>
      </c>
      <c r="K10" s="16">
        <f t="shared" ref="K10:M10" si="0">D10/D4</f>
        <v>1.232804232804233</v>
      </c>
      <c r="L10" s="16">
        <f t="shared" si="0"/>
        <v>3.6213070725156671</v>
      </c>
      <c r="M10" s="16">
        <f t="shared" si="0"/>
        <v>9.6670030272452063</v>
      </c>
      <c r="O10" s="119"/>
      <c r="P10" s="8">
        <v>2</v>
      </c>
      <c r="Q10">
        <v>1.3083573487031699</v>
      </c>
      <c r="R10">
        <v>1.232804232804233</v>
      </c>
      <c r="S10">
        <v>3.6213070725156671</v>
      </c>
      <c r="T10" s="9">
        <v>9.6670030272452063</v>
      </c>
    </row>
    <row r="11" spans="1:20" x14ac:dyDescent="0.25">
      <c r="A11" s="125"/>
      <c r="B11" s="16">
        <v>4</v>
      </c>
      <c r="C11" s="16">
        <v>9.0299999999999994</v>
      </c>
      <c r="D11" s="16">
        <v>9.24</v>
      </c>
      <c r="E11" s="16">
        <v>20.48</v>
      </c>
      <c r="F11" s="16">
        <v>65.36</v>
      </c>
      <c r="G11" s="14"/>
      <c r="H11" s="125"/>
      <c r="I11" s="16">
        <v>4</v>
      </c>
      <c r="J11" s="16">
        <f t="shared" ref="J11:J13" si="1">C11/C5</f>
        <v>2.4099279423538831</v>
      </c>
      <c r="K11" s="16">
        <f t="shared" ref="K11:K13" si="2">D11/D5</f>
        <v>2.260827012478591</v>
      </c>
      <c r="L11" s="16">
        <f t="shared" ref="L11:L13" si="3">E11/E5</f>
        <v>4.1975814716130362</v>
      </c>
      <c r="M11" s="16">
        <f t="shared" ref="M11:M13" si="4">F11/F5</f>
        <v>9.9786259541984741</v>
      </c>
      <c r="O11" s="119"/>
      <c r="P11" s="8">
        <v>4</v>
      </c>
      <c r="Q11">
        <v>2.4099279423538831</v>
      </c>
      <c r="R11">
        <v>2.260827012478591</v>
      </c>
      <c r="S11">
        <v>4.1975814716130362</v>
      </c>
      <c r="T11" s="9">
        <v>9.9786259541984741</v>
      </c>
    </row>
    <row r="12" spans="1:20" x14ac:dyDescent="0.25">
      <c r="A12" s="125"/>
      <c r="B12" s="16">
        <v>8</v>
      </c>
      <c r="C12" s="16">
        <v>14.58</v>
      </c>
      <c r="D12" s="16">
        <v>15.26</v>
      </c>
      <c r="E12" s="16">
        <v>28.4</v>
      </c>
      <c r="F12" s="16">
        <v>119.12</v>
      </c>
      <c r="G12" s="14"/>
      <c r="H12" s="125"/>
      <c r="I12" s="16">
        <v>8</v>
      </c>
      <c r="J12" s="16">
        <f t="shared" si="1"/>
        <v>3.3986013986013988</v>
      </c>
      <c r="K12" s="16">
        <f t="shared" si="2"/>
        <v>3.0356077183210659</v>
      </c>
      <c r="L12" s="16">
        <f t="shared" si="3"/>
        <v>4.3712482684315841</v>
      </c>
      <c r="M12" s="16">
        <f t="shared" si="4"/>
        <v>12.081135902636918</v>
      </c>
      <c r="O12" s="119"/>
      <c r="P12" s="8">
        <v>8</v>
      </c>
      <c r="Q12">
        <v>3.3986013986013988</v>
      </c>
      <c r="R12">
        <v>3.0356077183210659</v>
      </c>
      <c r="S12">
        <v>4.3712482684315841</v>
      </c>
      <c r="T12" s="9">
        <v>12.081135902636918</v>
      </c>
    </row>
    <row r="13" spans="1:20" ht="16.5" thickBot="1" x14ac:dyDescent="0.3">
      <c r="A13" s="125"/>
      <c r="B13" s="16">
        <v>16</v>
      </c>
      <c r="C13" s="16">
        <v>29.47</v>
      </c>
      <c r="D13" s="16">
        <v>31.68</v>
      </c>
      <c r="E13" s="16">
        <v>72.87</v>
      </c>
      <c r="F13" s="16">
        <v>156.69999999999999</v>
      </c>
      <c r="G13" s="14"/>
      <c r="H13" s="125"/>
      <c r="I13" s="16">
        <v>16</v>
      </c>
      <c r="J13" s="16">
        <f t="shared" si="1"/>
        <v>3.5433449561139834</v>
      </c>
      <c r="K13" s="16">
        <f t="shared" si="2"/>
        <v>3.2592592592592591</v>
      </c>
      <c r="L13" s="16">
        <f t="shared" si="3"/>
        <v>5.618350038550501</v>
      </c>
      <c r="M13" s="16">
        <f t="shared" si="4"/>
        <v>6.1523360816647035</v>
      </c>
      <c r="O13" s="120"/>
      <c r="P13" s="10">
        <v>16</v>
      </c>
      <c r="Q13" s="11">
        <v>3.5433449561139834</v>
      </c>
      <c r="R13" s="11">
        <v>3.2592592592592591</v>
      </c>
      <c r="S13" s="11">
        <v>5.618350038550501</v>
      </c>
      <c r="T13" s="12">
        <v>6.1523360816647035</v>
      </c>
    </row>
    <row r="14" spans="1:20" ht="15.75" customHeight="1" thickBot="1" x14ac:dyDescent="0.3">
      <c r="A14" s="15"/>
      <c r="B14" s="17"/>
      <c r="C14" s="124" t="s">
        <v>89</v>
      </c>
      <c r="D14" s="124"/>
      <c r="E14" s="124"/>
      <c r="F14" s="124"/>
      <c r="G14" s="14"/>
      <c r="H14" s="15"/>
      <c r="I14" s="17"/>
      <c r="J14" s="124" t="s">
        <v>89</v>
      </c>
      <c r="K14" s="124"/>
      <c r="L14" s="124"/>
      <c r="M14" s="124"/>
      <c r="O14" s="121"/>
      <c r="P14" s="122"/>
      <c r="Q14" s="122"/>
      <c r="R14" s="122"/>
      <c r="S14" s="122"/>
      <c r="T14" s="123"/>
    </row>
    <row r="15" spans="1:20" ht="16.5" thickBot="1" x14ac:dyDescent="0.3">
      <c r="A15" s="14"/>
      <c r="B15" s="30" t="s">
        <v>37</v>
      </c>
      <c r="C15" s="13" t="s">
        <v>87</v>
      </c>
      <c r="D15" s="13" t="s">
        <v>84</v>
      </c>
      <c r="E15" s="13" t="s">
        <v>85</v>
      </c>
      <c r="F15" s="13" t="s">
        <v>86</v>
      </c>
      <c r="G15" s="14"/>
      <c r="H15" s="14"/>
      <c r="I15" s="18" t="s">
        <v>37</v>
      </c>
      <c r="J15" s="13" t="s">
        <v>87</v>
      </c>
      <c r="K15" s="13" t="s">
        <v>84</v>
      </c>
      <c r="L15" s="13" t="s">
        <v>85</v>
      </c>
      <c r="M15" s="13" t="s">
        <v>86</v>
      </c>
      <c r="O15" s="118" t="s">
        <v>138</v>
      </c>
      <c r="P15" s="19" t="s">
        <v>37</v>
      </c>
      <c r="Q15" s="20" t="s">
        <v>87</v>
      </c>
      <c r="R15" s="20" t="s">
        <v>84</v>
      </c>
      <c r="S15" s="20" t="s">
        <v>85</v>
      </c>
      <c r="T15" s="21" t="s">
        <v>86</v>
      </c>
    </row>
    <row r="16" spans="1:20" x14ac:dyDescent="0.25">
      <c r="A16" s="125" t="s">
        <v>43</v>
      </c>
      <c r="B16" s="16">
        <v>2</v>
      </c>
      <c r="C16" s="16">
        <v>6.85</v>
      </c>
      <c r="D16" s="16">
        <v>9.08</v>
      </c>
      <c r="E16" s="16">
        <v>11.77</v>
      </c>
      <c r="F16" s="16">
        <v>18.776</v>
      </c>
      <c r="G16" s="14"/>
      <c r="H16" s="125" t="s">
        <v>43</v>
      </c>
      <c r="I16" s="16">
        <v>2</v>
      </c>
      <c r="J16" s="16">
        <f>C16/C4</f>
        <v>1.9740634005763686</v>
      </c>
      <c r="K16" s="16">
        <f t="shared" ref="K16:M16" si="5">D16/D4</f>
        <v>2.4021164021164023</v>
      </c>
      <c r="L16" s="16">
        <f t="shared" si="5"/>
        <v>2.6342882721575647</v>
      </c>
      <c r="M16" s="16">
        <f t="shared" si="5"/>
        <v>3.1577531113353516</v>
      </c>
      <c r="O16" s="119"/>
      <c r="P16" s="8">
        <v>2</v>
      </c>
      <c r="Q16">
        <v>1.9740634005763686</v>
      </c>
      <c r="R16">
        <v>2.4021164021164023</v>
      </c>
      <c r="S16">
        <v>2.6342882721575647</v>
      </c>
      <c r="T16" s="9">
        <v>3.1577531113353516</v>
      </c>
    </row>
    <row r="17" spans="1:20" x14ac:dyDescent="0.25">
      <c r="A17" s="125"/>
      <c r="B17" s="16">
        <v>4</v>
      </c>
      <c r="C17" s="16">
        <v>8.91</v>
      </c>
      <c r="D17" s="16">
        <v>10.68</v>
      </c>
      <c r="E17" s="16">
        <v>12.23</v>
      </c>
      <c r="F17" s="16">
        <v>19.059999999999999</v>
      </c>
      <c r="G17" s="14"/>
      <c r="H17" s="125"/>
      <c r="I17" s="16">
        <v>4</v>
      </c>
      <c r="J17" s="16">
        <f t="shared" ref="J17:J18" si="6">C17/C5</f>
        <v>2.3779023218574862</v>
      </c>
      <c r="K17" s="16">
        <f t="shared" ref="K17:K18" si="7">D17/D5</f>
        <v>2.6131636897479815</v>
      </c>
      <c r="L17" s="16">
        <f t="shared" ref="L17:L18" si="8">E17/E5</f>
        <v>2.5066612010657923</v>
      </c>
      <c r="M17" s="16">
        <f t="shared" ref="M17:M18" si="9">F17/F5</f>
        <v>2.9099236641221373</v>
      </c>
      <c r="O17" s="119"/>
      <c r="P17" s="8">
        <v>4</v>
      </c>
      <c r="Q17">
        <v>2.3779023218574862</v>
      </c>
      <c r="R17">
        <v>2.6131636897479815</v>
      </c>
      <c r="S17">
        <v>2.5066612010657923</v>
      </c>
      <c r="T17" s="9">
        <v>2.9099236641221373</v>
      </c>
    </row>
    <row r="18" spans="1:20" x14ac:dyDescent="0.25">
      <c r="A18" s="125"/>
      <c r="B18" s="16">
        <v>8</v>
      </c>
      <c r="C18" s="16">
        <v>13.914</v>
      </c>
      <c r="D18" s="16">
        <v>12.96</v>
      </c>
      <c r="E18" s="16">
        <v>16.39</v>
      </c>
      <c r="F18" s="16">
        <v>18.89</v>
      </c>
      <c r="G18" s="14"/>
      <c r="H18" s="125"/>
      <c r="I18" s="16">
        <v>8</v>
      </c>
      <c r="J18" s="16">
        <f t="shared" si="6"/>
        <v>3.2433566433566434</v>
      </c>
      <c r="K18" s="16">
        <f t="shared" si="7"/>
        <v>2.5780783767654665</v>
      </c>
      <c r="L18" s="16">
        <f t="shared" si="8"/>
        <v>2.5227027859011852</v>
      </c>
      <c r="M18" s="16">
        <f t="shared" si="9"/>
        <v>1.915821501014199</v>
      </c>
      <c r="O18" s="119"/>
      <c r="P18" s="8">
        <v>8</v>
      </c>
      <c r="Q18">
        <v>3.2433566433566434</v>
      </c>
      <c r="R18">
        <v>2.5780783767654665</v>
      </c>
      <c r="S18">
        <v>2.5227027859011852</v>
      </c>
      <c r="T18" s="9">
        <v>1.915821501014199</v>
      </c>
    </row>
    <row r="19" spans="1:20" ht="16.5" thickBot="1" x14ac:dyDescent="0.3">
      <c r="A19" s="125"/>
      <c r="B19" s="16">
        <v>16</v>
      </c>
      <c r="C19" s="16">
        <v>18.78</v>
      </c>
      <c r="D19" s="16">
        <v>19.21</v>
      </c>
      <c r="E19" s="16">
        <v>19.78</v>
      </c>
      <c r="F19" s="16">
        <v>25.14</v>
      </c>
      <c r="G19" s="14"/>
      <c r="H19" s="125"/>
      <c r="I19" s="16">
        <v>16</v>
      </c>
      <c r="J19" s="16"/>
      <c r="K19" s="16"/>
      <c r="L19" s="16"/>
      <c r="M19" s="16"/>
      <c r="O19" s="120"/>
      <c r="P19" s="10">
        <v>16</v>
      </c>
      <c r="Q19" s="126" t="s">
        <v>100</v>
      </c>
      <c r="R19" s="126"/>
      <c r="S19" s="126"/>
      <c r="T19" s="127"/>
    </row>
    <row r="20" spans="1:20" ht="16.5" thickBot="1" x14ac:dyDescent="0.3">
      <c r="A20" s="15"/>
      <c r="B20" s="16"/>
      <c r="C20" s="16"/>
      <c r="D20" s="16"/>
      <c r="E20" s="16"/>
      <c r="F20" s="16"/>
      <c r="G20" s="14"/>
      <c r="H20" s="15"/>
      <c r="I20" s="16"/>
      <c r="J20" s="16"/>
      <c r="K20" s="16"/>
      <c r="L20" s="16"/>
      <c r="M20" s="16"/>
      <c r="O20" s="121"/>
      <c r="P20" s="122"/>
      <c r="Q20" s="122"/>
      <c r="R20" s="122"/>
      <c r="S20" s="122"/>
      <c r="T20" s="123"/>
    </row>
    <row r="21" spans="1:20" ht="16.5" customHeight="1" thickBot="1" x14ac:dyDescent="0.3">
      <c r="A21" s="1"/>
      <c r="B21" s="28"/>
      <c r="C21" s="115" t="s">
        <v>101</v>
      </c>
      <c r="D21" s="116"/>
      <c r="E21" s="116"/>
      <c r="F21" s="117"/>
      <c r="G21" s="1"/>
      <c r="H21" s="1"/>
      <c r="I21" s="1"/>
      <c r="J21" s="1"/>
      <c r="K21" s="1"/>
      <c r="L21" s="1"/>
      <c r="M21" s="1"/>
      <c r="O21" s="118" t="s">
        <v>139</v>
      </c>
      <c r="P21" s="22" t="s">
        <v>37</v>
      </c>
      <c r="Q21" s="23" t="s">
        <v>38</v>
      </c>
      <c r="R21" s="23" t="s">
        <v>39</v>
      </c>
      <c r="S21" s="23" t="s">
        <v>40</v>
      </c>
      <c r="T21" s="24" t="s">
        <v>41</v>
      </c>
    </row>
    <row r="22" spans="1:20" x14ac:dyDescent="0.25">
      <c r="A22" s="1"/>
      <c r="B22" s="29" t="s">
        <v>37</v>
      </c>
      <c r="C22" s="18" t="s">
        <v>38</v>
      </c>
      <c r="D22" s="18" t="s">
        <v>39</v>
      </c>
      <c r="E22" s="18" t="s">
        <v>40</v>
      </c>
      <c r="F22" s="18" t="s">
        <v>41</v>
      </c>
      <c r="G22" s="1"/>
      <c r="H22" s="1"/>
      <c r="I22" s="18" t="s">
        <v>37</v>
      </c>
      <c r="J22" s="18" t="s">
        <v>38</v>
      </c>
      <c r="K22" s="18" t="s">
        <v>39</v>
      </c>
      <c r="L22" s="18" t="s">
        <v>40</v>
      </c>
      <c r="M22" s="18" t="s">
        <v>41</v>
      </c>
      <c r="O22" s="119"/>
      <c r="P22" s="25">
        <v>2</v>
      </c>
      <c r="Q22" s="26">
        <v>3.2507204610951006</v>
      </c>
      <c r="R22" s="26">
        <v>3.0193121693121694</v>
      </c>
      <c r="S22" s="26">
        <v>3.6228737690241721</v>
      </c>
      <c r="T22" s="27">
        <v>4.7107299024554328</v>
      </c>
    </row>
    <row r="23" spans="1:20" x14ac:dyDescent="0.25">
      <c r="A23" s="102" t="s">
        <v>42</v>
      </c>
      <c r="B23" s="1">
        <v>2</v>
      </c>
      <c r="C23" s="1">
        <v>11.28</v>
      </c>
      <c r="D23" s="1">
        <v>11.413</v>
      </c>
      <c r="E23" s="1">
        <v>16.187000000000001</v>
      </c>
      <c r="F23" s="1">
        <v>28.01</v>
      </c>
      <c r="G23" s="1"/>
      <c r="H23" s="102" t="s">
        <v>42</v>
      </c>
      <c r="I23" s="1">
        <v>2</v>
      </c>
      <c r="J23" s="1">
        <f>C23/C4</f>
        <v>3.2507204610951006</v>
      </c>
      <c r="K23" s="1">
        <f t="shared" ref="K23:M23" si="10">D23/D4</f>
        <v>3.0193121693121694</v>
      </c>
      <c r="L23" s="1">
        <f t="shared" si="10"/>
        <v>3.6228737690241721</v>
      </c>
      <c r="M23" s="1">
        <f t="shared" si="10"/>
        <v>4.7107299024554328</v>
      </c>
      <c r="O23" s="119"/>
      <c r="P23" s="8">
        <v>4</v>
      </c>
      <c r="Q23">
        <v>3.2666132906325061</v>
      </c>
      <c r="R23">
        <v>3.1854661120626377</v>
      </c>
      <c r="S23">
        <v>3.9159663865546226</v>
      </c>
      <c r="T23" s="9">
        <v>4.6931297709923667</v>
      </c>
    </row>
    <row r="24" spans="1:20" x14ac:dyDescent="0.25">
      <c r="A24" s="102"/>
      <c r="B24" s="1">
        <v>4</v>
      </c>
      <c r="C24" s="1">
        <v>12.24</v>
      </c>
      <c r="D24" s="1">
        <v>13.019</v>
      </c>
      <c r="E24" s="1">
        <v>19.106000000000002</v>
      </c>
      <c r="F24" s="1">
        <v>30.74</v>
      </c>
      <c r="G24" s="1"/>
      <c r="H24" s="102"/>
      <c r="I24" s="1">
        <v>4</v>
      </c>
      <c r="J24" s="1">
        <f t="shared" ref="J24:J25" si="11">C24/C5</f>
        <v>3.2666132906325061</v>
      </c>
      <c r="K24" s="1">
        <f t="shared" ref="K24:K25" si="12">D24/D5</f>
        <v>3.1854661120626377</v>
      </c>
      <c r="L24" s="1">
        <f t="shared" ref="L24:L25" si="13">E24/E5</f>
        <v>3.9159663865546226</v>
      </c>
      <c r="M24" s="1">
        <f t="shared" ref="M24:M25" si="14">F24/F5</f>
        <v>4.6931297709923667</v>
      </c>
      <c r="O24" s="119"/>
      <c r="P24" s="8">
        <v>8</v>
      </c>
      <c r="Q24">
        <v>3.0046620046620047</v>
      </c>
      <c r="R24">
        <v>2.6297990849413169</v>
      </c>
      <c r="S24">
        <v>3.0475604124980764</v>
      </c>
      <c r="T24" s="9">
        <v>3.1382352941176475</v>
      </c>
    </row>
    <row r="25" spans="1:20" ht="16.5" thickBot="1" x14ac:dyDescent="0.3">
      <c r="A25" s="102"/>
      <c r="B25" s="1">
        <v>8</v>
      </c>
      <c r="C25" s="1">
        <v>12.89</v>
      </c>
      <c r="D25" s="1">
        <v>13.22</v>
      </c>
      <c r="E25" s="1">
        <v>19.8</v>
      </c>
      <c r="F25" s="1">
        <v>30.943000000000001</v>
      </c>
      <c r="G25" s="1"/>
      <c r="H25" s="102"/>
      <c r="I25" s="1">
        <v>8</v>
      </c>
      <c r="J25" s="1">
        <f t="shared" si="11"/>
        <v>3.0046620046620047</v>
      </c>
      <c r="K25" s="1">
        <f t="shared" si="12"/>
        <v>2.6297990849413169</v>
      </c>
      <c r="L25" s="1">
        <f t="shared" si="13"/>
        <v>3.0475604124980764</v>
      </c>
      <c r="M25" s="1">
        <f t="shared" si="14"/>
        <v>3.1382352941176475</v>
      </c>
      <c r="O25" s="120"/>
      <c r="P25" s="10">
        <v>16</v>
      </c>
      <c r="Q25" s="126" t="s">
        <v>100</v>
      </c>
      <c r="R25" s="126"/>
      <c r="S25" s="126"/>
      <c r="T25" s="127"/>
    </row>
    <row r="26" spans="1:20" ht="16.5" thickBot="1" x14ac:dyDescent="0.3">
      <c r="A26" s="102"/>
      <c r="B26" s="1">
        <v>16</v>
      </c>
      <c r="C26" s="1">
        <v>15.536</v>
      </c>
      <c r="D26" s="1">
        <v>17.600000000000001</v>
      </c>
      <c r="E26" s="1">
        <v>25.6</v>
      </c>
      <c r="F26" s="1">
        <v>40.219000000000001</v>
      </c>
      <c r="G26" s="1"/>
      <c r="H26" s="102"/>
      <c r="I26" s="1">
        <v>16</v>
      </c>
      <c r="J26" s="1"/>
      <c r="K26" s="1"/>
      <c r="L26" s="1"/>
      <c r="M26" s="1"/>
      <c r="O26" s="121"/>
      <c r="P26" s="122"/>
      <c r="Q26" s="122"/>
      <c r="R26" s="122"/>
      <c r="S26" s="122"/>
      <c r="T26" s="123"/>
    </row>
    <row r="27" spans="1:20" ht="16.5" thickBot="1" x14ac:dyDescent="0.3">
      <c r="O27" s="118" t="s">
        <v>140</v>
      </c>
      <c r="P27" s="34" t="s">
        <v>37</v>
      </c>
      <c r="Q27" s="35" t="s">
        <v>87</v>
      </c>
      <c r="R27" s="35" t="s">
        <v>84</v>
      </c>
      <c r="S27" s="35" t="s">
        <v>85</v>
      </c>
      <c r="T27" s="36" t="s">
        <v>86</v>
      </c>
    </row>
    <row r="28" spans="1:20" x14ac:dyDescent="0.25">
      <c r="O28" s="119"/>
      <c r="P28" s="32">
        <v>2</v>
      </c>
      <c r="Q28" s="33">
        <v>3.47</v>
      </c>
      <c r="R28" s="33">
        <v>3.78</v>
      </c>
      <c r="S28" s="33">
        <v>4.468</v>
      </c>
      <c r="T28" s="37">
        <v>5.9459999999999997</v>
      </c>
    </row>
    <row r="29" spans="1:20" x14ac:dyDescent="0.25">
      <c r="O29" s="119"/>
      <c r="P29" s="31">
        <v>4</v>
      </c>
      <c r="Q29" s="16">
        <v>3.7469999999999999</v>
      </c>
      <c r="R29" s="16">
        <v>4.0869999999999997</v>
      </c>
      <c r="S29" s="16">
        <v>4.8789999999999996</v>
      </c>
      <c r="T29" s="38">
        <v>6.55</v>
      </c>
    </row>
    <row r="30" spans="1:20" x14ac:dyDescent="0.25">
      <c r="O30" s="119"/>
      <c r="P30" s="31">
        <v>8</v>
      </c>
      <c r="Q30" s="16">
        <v>4.29</v>
      </c>
      <c r="R30" s="16">
        <v>5.0270000000000001</v>
      </c>
      <c r="S30" s="16">
        <v>6.4969999999999999</v>
      </c>
      <c r="T30" s="38">
        <v>9.86</v>
      </c>
    </row>
    <row r="31" spans="1:20" ht="16.5" thickBot="1" x14ac:dyDescent="0.3">
      <c r="O31" s="120"/>
      <c r="P31" s="39">
        <v>16</v>
      </c>
      <c r="Q31" s="40">
        <v>8.3170000000000002</v>
      </c>
      <c r="R31" s="40">
        <v>9.7200000000000006</v>
      </c>
      <c r="S31" s="40">
        <v>12.97</v>
      </c>
      <c r="T31" s="41">
        <v>25.47</v>
      </c>
    </row>
  </sheetData>
  <mergeCells count="24">
    <mergeCell ref="C2:F2"/>
    <mergeCell ref="A2:A3"/>
    <mergeCell ref="A4:A7"/>
    <mergeCell ref="Q25:T25"/>
    <mergeCell ref="Q19:T19"/>
    <mergeCell ref="O8:T8"/>
    <mergeCell ref="A16:A19"/>
    <mergeCell ref="C8:F8"/>
    <mergeCell ref="C14:F14"/>
    <mergeCell ref="A10:A13"/>
    <mergeCell ref="J8:M8"/>
    <mergeCell ref="H10:H13"/>
    <mergeCell ref="J14:M14"/>
    <mergeCell ref="H16:H19"/>
    <mergeCell ref="A23:A26"/>
    <mergeCell ref="H23:H26"/>
    <mergeCell ref="C21:F21"/>
    <mergeCell ref="O27:O31"/>
    <mergeCell ref="O26:T26"/>
    <mergeCell ref="O9:O13"/>
    <mergeCell ref="O15:O19"/>
    <mergeCell ref="O21:O25"/>
    <mergeCell ref="O14:T14"/>
    <mergeCell ref="O20:T2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D71-7A3F-4D38-945F-1D03D88E7283}">
  <dimension ref="A1:T49"/>
  <sheetViews>
    <sheetView topLeftCell="A28" zoomScale="91" workbookViewId="0">
      <selection activeCell="A28" sqref="A28:F49"/>
    </sheetView>
  </sheetViews>
  <sheetFormatPr defaultRowHeight="15.75" x14ac:dyDescent="0.25"/>
  <cols>
    <col min="1" max="1" width="14" bestFit="1" customWidth="1"/>
    <col min="2" max="2" width="9.5" bestFit="1" customWidth="1"/>
    <col min="3" max="3" width="15.75" bestFit="1" customWidth="1"/>
    <col min="4" max="4" width="12.625" bestFit="1" customWidth="1"/>
    <col min="5" max="6" width="8.75" bestFit="1" customWidth="1"/>
    <col min="9" max="9" width="9.375" bestFit="1" customWidth="1"/>
    <col min="10" max="13" width="11.625" bestFit="1" customWidth="1"/>
    <col min="16" max="16" width="9.375" bestFit="1" customWidth="1"/>
    <col min="17" max="20" width="8.75" bestFit="1" customWidth="1"/>
  </cols>
  <sheetData>
    <row r="1" spans="1:20" x14ac:dyDescent="0.25">
      <c r="C1" t="s">
        <v>106</v>
      </c>
    </row>
    <row r="2" spans="1:20" ht="15.95" customHeight="1" x14ac:dyDescent="0.25">
      <c r="A2" s="124" t="s">
        <v>90</v>
      </c>
      <c r="B2" s="17"/>
      <c r="C2" s="124" t="s">
        <v>89</v>
      </c>
      <c r="D2" s="124"/>
      <c r="E2" s="124"/>
      <c r="F2" s="124"/>
      <c r="G2" s="14"/>
      <c r="H2" s="14"/>
      <c r="I2" s="14"/>
      <c r="J2" s="14"/>
      <c r="K2" s="14"/>
      <c r="L2" s="14"/>
      <c r="M2" s="14"/>
    </row>
    <row r="3" spans="1:20" x14ac:dyDescent="0.25">
      <c r="A3" s="124"/>
      <c r="B3" s="43" t="s">
        <v>37</v>
      </c>
      <c r="C3" s="43" t="s">
        <v>87</v>
      </c>
      <c r="D3" s="43" t="s">
        <v>84</v>
      </c>
      <c r="E3" s="43" t="s">
        <v>85</v>
      </c>
      <c r="F3" s="43" t="s">
        <v>86</v>
      </c>
      <c r="G3" s="14"/>
      <c r="H3" s="14"/>
      <c r="I3" s="14"/>
      <c r="J3" s="14"/>
      <c r="K3" s="14"/>
      <c r="L3" s="14"/>
      <c r="M3" s="14"/>
    </row>
    <row r="4" spans="1:20" x14ac:dyDescent="0.25">
      <c r="A4" s="125" t="s">
        <v>88</v>
      </c>
      <c r="B4" s="44">
        <v>2</v>
      </c>
      <c r="C4" s="44">
        <v>2.1440000000000001</v>
      </c>
      <c r="D4" s="44">
        <v>2.57</v>
      </c>
      <c r="E4" s="44">
        <v>3.1989999999999998</v>
      </c>
      <c r="F4" s="44">
        <v>4.7</v>
      </c>
      <c r="G4" s="14"/>
      <c r="H4" s="16">
        <v>2</v>
      </c>
      <c r="I4" s="16">
        <v>6.85</v>
      </c>
      <c r="J4" s="16">
        <v>9.08</v>
      </c>
      <c r="K4" s="16">
        <v>11.77</v>
      </c>
      <c r="L4" s="16">
        <v>18.776</v>
      </c>
      <c r="M4" s="14"/>
    </row>
    <row r="5" spans="1:20" x14ac:dyDescent="0.25">
      <c r="A5" s="125"/>
      <c r="B5" s="44">
        <v>4</v>
      </c>
      <c r="C5" s="44">
        <v>2.2850000000000001</v>
      </c>
      <c r="D5" s="44">
        <v>2.71</v>
      </c>
      <c r="E5" s="44">
        <v>3.4620000000000002</v>
      </c>
      <c r="F5" s="44">
        <v>4.8170000000000002</v>
      </c>
      <c r="G5" s="14"/>
      <c r="H5" s="16">
        <v>4</v>
      </c>
      <c r="I5" s="16">
        <v>8.91</v>
      </c>
      <c r="J5" s="16">
        <v>10.68</v>
      </c>
      <c r="K5" s="16">
        <v>12.23</v>
      </c>
      <c r="L5" s="16">
        <v>19.059999999999999</v>
      </c>
      <c r="M5" s="14"/>
    </row>
    <row r="6" spans="1:20" x14ac:dyDescent="0.25">
      <c r="A6" s="125"/>
      <c r="B6" s="44">
        <v>8</v>
      </c>
      <c r="C6" s="44">
        <v>2.8820000000000001</v>
      </c>
      <c r="D6" s="44">
        <v>3.2850000000000001</v>
      </c>
      <c r="E6" s="44">
        <v>3.9590000000000001</v>
      </c>
      <c r="F6" s="44">
        <v>5.0659999999999998</v>
      </c>
      <c r="G6" s="14"/>
      <c r="H6" s="14"/>
      <c r="I6" s="14"/>
      <c r="J6" s="14"/>
      <c r="K6" s="14"/>
      <c r="L6" s="14"/>
      <c r="M6" s="14"/>
    </row>
    <row r="7" spans="1:20" ht="16.5" thickBot="1" x14ac:dyDescent="0.3">
      <c r="A7" s="125"/>
      <c r="B7" s="44">
        <v>16</v>
      </c>
      <c r="C7" s="44">
        <v>4.1379999999999999</v>
      </c>
      <c r="D7" s="44">
        <v>6.39</v>
      </c>
      <c r="E7" s="44">
        <v>7.36</v>
      </c>
      <c r="F7" s="44">
        <v>11.58</v>
      </c>
      <c r="G7" s="14"/>
      <c r="H7" s="14"/>
      <c r="I7" s="14"/>
      <c r="J7" s="14"/>
      <c r="K7" s="14"/>
      <c r="L7" s="14"/>
      <c r="M7" s="14"/>
    </row>
    <row r="8" spans="1:20" ht="15.75" customHeight="1" thickBot="1" x14ac:dyDescent="0.3">
      <c r="A8" s="15"/>
      <c r="B8" s="17"/>
      <c r="C8" s="131" t="s">
        <v>89</v>
      </c>
      <c r="D8" s="132"/>
      <c r="E8" s="132"/>
      <c r="F8" s="133"/>
      <c r="G8" s="14"/>
      <c r="H8" s="15"/>
      <c r="I8" s="17"/>
      <c r="J8" s="124" t="s">
        <v>89</v>
      </c>
      <c r="K8" s="124"/>
      <c r="L8" s="124"/>
      <c r="M8" s="124"/>
      <c r="O8" s="128" t="s">
        <v>99</v>
      </c>
      <c r="P8" s="129"/>
      <c r="Q8" s="129"/>
      <c r="R8" s="129"/>
      <c r="S8" s="129"/>
      <c r="T8" s="130"/>
    </row>
    <row r="9" spans="1:20" ht="16.5" thickBot="1" x14ac:dyDescent="0.3">
      <c r="A9" s="14"/>
      <c r="B9" s="30" t="s">
        <v>37</v>
      </c>
      <c r="C9" s="13" t="s">
        <v>87</v>
      </c>
      <c r="D9" s="13" t="s">
        <v>84</v>
      </c>
      <c r="E9" s="13" t="s">
        <v>85</v>
      </c>
      <c r="F9" s="13" t="s">
        <v>86</v>
      </c>
      <c r="G9" s="14"/>
      <c r="H9" s="14"/>
      <c r="I9" s="18" t="s">
        <v>37</v>
      </c>
      <c r="J9" s="13" t="s">
        <v>87</v>
      </c>
      <c r="K9" s="13" t="s">
        <v>84</v>
      </c>
      <c r="L9" s="13" t="s">
        <v>85</v>
      </c>
      <c r="M9" s="13" t="s">
        <v>86</v>
      </c>
      <c r="O9" s="145" t="s">
        <v>91</v>
      </c>
      <c r="P9" s="19" t="s">
        <v>37</v>
      </c>
      <c r="Q9" s="20" t="s">
        <v>87</v>
      </c>
      <c r="R9" s="20" t="s">
        <v>84</v>
      </c>
      <c r="S9" s="20" t="s">
        <v>85</v>
      </c>
      <c r="T9" s="21" t="s">
        <v>86</v>
      </c>
    </row>
    <row r="10" spans="1:20" x14ac:dyDescent="0.25">
      <c r="A10" s="125" t="s">
        <v>91</v>
      </c>
      <c r="B10" s="16">
        <v>2</v>
      </c>
      <c r="C10" s="16"/>
      <c r="D10" s="16"/>
      <c r="E10" s="16">
        <v>15.11</v>
      </c>
      <c r="F10" s="16"/>
      <c r="G10" s="14"/>
      <c r="H10" s="125" t="s">
        <v>91</v>
      </c>
      <c r="I10" s="16">
        <v>2</v>
      </c>
      <c r="J10" s="16">
        <f>C10/C4</f>
        <v>0</v>
      </c>
      <c r="K10" s="16">
        <f t="shared" ref="K10:M13" si="0">D10/D4</f>
        <v>0</v>
      </c>
      <c r="L10" s="16">
        <f t="shared" si="0"/>
        <v>4.7233510472022511</v>
      </c>
      <c r="M10" s="16">
        <f t="shared" si="0"/>
        <v>0</v>
      </c>
      <c r="O10" s="146"/>
      <c r="P10" s="8">
        <v>2</v>
      </c>
      <c r="Q10">
        <v>1.3083573487031699</v>
      </c>
      <c r="R10">
        <v>1.232804232804233</v>
      </c>
      <c r="S10">
        <v>3.6213070725156671</v>
      </c>
      <c r="T10" s="9">
        <v>9.6670030272452063</v>
      </c>
    </row>
    <row r="11" spans="1:20" x14ac:dyDescent="0.25">
      <c r="A11" s="125"/>
      <c r="B11" s="16">
        <v>4</v>
      </c>
      <c r="C11" s="16"/>
      <c r="D11" s="16"/>
      <c r="E11" s="16">
        <v>31.04</v>
      </c>
      <c r="F11" s="16"/>
      <c r="G11" s="14"/>
      <c r="H11" s="125"/>
      <c r="I11" s="16">
        <v>4</v>
      </c>
      <c r="J11" s="16">
        <f t="shared" ref="J11:J13" si="1">C11/C5</f>
        <v>0</v>
      </c>
      <c r="K11" s="16">
        <f t="shared" si="0"/>
        <v>0</v>
      </c>
      <c r="L11" s="16">
        <f t="shared" si="0"/>
        <v>8.9659156556903525</v>
      </c>
      <c r="M11" s="16">
        <f t="shared" si="0"/>
        <v>0</v>
      </c>
      <c r="O11" s="146"/>
      <c r="P11" s="8">
        <v>4</v>
      </c>
      <c r="Q11">
        <v>2.4099279423538831</v>
      </c>
      <c r="R11">
        <v>2.260827012478591</v>
      </c>
      <c r="S11">
        <v>4.1975814716130362</v>
      </c>
      <c r="T11" s="9">
        <v>9.9786259541984741</v>
      </c>
    </row>
    <row r="12" spans="1:20" x14ac:dyDescent="0.25">
      <c r="A12" s="125"/>
      <c r="B12" s="16">
        <v>8</v>
      </c>
      <c r="C12" s="16"/>
      <c r="D12" s="16"/>
      <c r="E12" s="16">
        <v>35.03</v>
      </c>
      <c r="F12" s="16"/>
      <c r="G12" s="14"/>
      <c r="H12" s="125"/>
      <c r="I12" s="16">
        <v>8</v>
      </c>
      <c r="J12" s="16">
        <f t="shared" si="1"/>
        <v>0</v>
      </c>
      <c r="K12" s="16">
        <f t="shared" si="0"/>
        <v>0</v>
      </c>
      <c r="L12" s="16">
        <f t="shared" si="0"/>
        <v>8.8481939883809044</v>
      </c>
      <c r="M12" s="16">
        <f t="shared" si="0"/>
        <v>0</v>
      </c>
      <c r="O12" s="146"/>
      <c r="P12" s="8">
        <v>8</v>
      </c>
      <c r="Q12">
        <v>3.3986013986013988</v>
      </c>
      <c r="R12">
        <v>3.0356077183210659</v>
      </c>
      <c r="S12">
        <v>4.3712482684315841</v>
      </c>
      <c r="T12" s="9">
        <v>12.081135902636918</v>
      </c>
    </row>
    <row r="13" spans="1:20" ht="16.5" thickBot="1" x14ac:dyDescent="0.3">
      <c r="A13" s="125"/>
      <c r="B13" s="16">
        <v>16</v>
      </c>
      <c r="C13" s="16"/>
      <c r="D13" s="16"/>
      <c r="E13" s="16"/>
      <c r="F13" s="16"/>
      <c r="G13" s="14"/>
      <c r="H13" s="125"/>
      <c r="I13" s="16">
        <v>16</v>
      </c>
      <c r="J13" s="16">
        <f t="shared" si="1"/>
        <v>0</v>
      </c>
      <c r="K13" s="16">
        <f t="shared" si="0"/>
        <v>0</v>
      </c>
      <c r="L13" s="16">
        <f t="shared" si="0"/>
        <v>0</v>
      </c>
      <c r="M13" s="16">
        <f t="shared" si="0"/>
        <v>0</v>
      </c>
      <c r="O13" s="147"/>
      <c r="P13" s="10">
        <v>16</v>
      </c>
      <c r="Q13" s="11">
        <v>3.5433449561139834</v>
      </c>
      <c r="R13" s="11">
        <v>3.2592592592592591</v>
      </c>
      <c r="S13" s="11">
        <v>5.618350038550501</v>
      </c>
      <c r="T13" s="12">
        <v>6.1523360816647035</v>
      </c>
    </row>
    <row r="14" spans="1:20" ht="15.75" customHeight="1" thickBot="1" x14ac:dyDescent="0.3">
      <c r="A14" s="15"/>
      <c r="B14" s="17"/>
      <c r="C14" s="124" t="s">
        <v>89</v>
      </c>
      <c r="D14" s="124"/>
      <c r="E14" s="124"/>
      <c r="F14" s="124"/>
      <c r="G14" s="14"/>
      <c r="H14" s="15"/>
      <c r="I14" s="17"/>
      <c r="J14" s="124" t="s">
        <v>89</v>
      </c>
      <c r="K14" s="124"/>
      <c r="L14" s="124"/>
      <c r="M14" s="124"/>
      <c r="O14" s="121"/>
      <c r="P14" s="122"/>
      <c r="Q14" s="122"/>
      <c r="R14" s="122"/>
      <c r="S14" s="122"/>
      <c r="T14" s="123"/>
    </row>
    <row r="15" spans="1:20" ht="16.5" thickBot="1" x14ac:dyDescent="0.3">
      <c r="A15" s="14"/>
      <c r="B15" s="30" t="s">
        <v>37</v>
      </c>
      <c r="C15" s="13" t="s">
        <v>87</v>
      </c>
      <c r="D15" s="13" t="s">
        <v>84</v>
      </c>
      <c r="E15" s="13" t="s">
        <v>85</v>
      </c>
      <c r="F15" s="13" t="s">
        <v>86</v>
      </c>
      <c r="G15" s="14"/>
      <c r="H15" s="14"/>
      <c r="I15" s="18" t="s">
        <v>37</v>
      </c>
      <c r="J15" s="13" t="s">
        <v>87</v>
      </c>
      <c r="K15" s="13" t="s">
        <v>84</v>
      </c>
      <c r="L15" s="13" t="s">
        <v>85</v>
      </c>
      <c r="M15" s="13" t="s">
        <v>86</v>
      </c>
      <c r="O15" s="145" t="s">
        <v>43</v>
      </c>
      <c r="P15" s="19" t="s">
        <v>37</v>
      </c>
      <c r="Q15" s="20" t="s">
        <v>87</v>
      </c>
      <c r="R15" s="20" t="s">
        <v>84</v>
      </c>
      <c r="S15" s="20" t="s">
        <v>85</v>
      </c>
      <c r="T15" s="21" t="s">
        <v>86</v>
      </c>
    </row>
    <row r="16" spans="1:20" x14ac:dyDescent="0.25">
      <c r="A16" s="125" t="s">
        <v>43</v>
      </c>
      <c r="B16" s="16">
        <v>2</v>
      </c>
      <c r="C16" s="16"/>
      <c r="D16" s="16"/>
      <c r="E16" s="16">
        <v>9.8699999999999992</v>
      </c>
      <c r="F16" s="16"/>
      <c r="G16" s="14"/>
      <c r="H16" s="125" t="s">
        <v>43</v>
      </c>
      <c r="I16" s="16">
        <v>2</v>
      </c>
      <c r="J16" s="16">
        <f>C16/C4</f>
        <v>0</v>
      </c>
      <c r="K16" s="16">
        <f t="shared" ref="K16:M18" si="2">D16/D4</f>
        <v>0</v>
      </c>
      <c r="L16" s="16">
        <f t="shared" si="2"/>
        <v>3.0853391684901532</v>
      </c>
      <c r="M16" s="16">
        <f t="shared" si="2"/>
        <v>0</v>
      </c>
      <c r="O16" s="146"/>
      <c r="P16" s="8">
        <v>2</v>
      </c>
      <c r="Q16">
        <v>1.9740634005763686</v>
      </c>
      <c r="R16">
        <v>2.4021164021164023</v>
      </c>
      <c r="S16">
        <v>2.6342882721575647</v>
      </c>
      <c r="T16" s="9">
        <v>3.1577531113353516</v>
      </c>
    </row>
    <row r="17" spans="1:20" x14ac:dyDescent="0.25">
      <c r="A17" s="125"/>
      <c r="B17" s="16">
        <v>4</v>
      </c>
      <c r="C17" s="16"/>
      <c r="D17" s="16"/>
      <c r="E17" s="16">
        <v>8.5</v>
      </c>
      <c r="F17" s="16"/>
      <c r="G17" s="14"/>
      <c r="H17" s="125"/>
      <c r="I17" s="16">
        <v>4</v>
      </c>
      <c r="J17" s="16">
        <f t="shared" ref="J17:J18" si="3">C17/C5</f>
        <v>0</v>
      </c>
      <c r="K17" s="16">
        <f t="shared" si="2"/>
        <v>0</v>
      </c>
      <c r="L17" s="16">
        <f t="shared" si="2"/>
        <v>2.4552281917966492</v>
      </c>
      <c r="M17" s="16">
        <f t="shared" si="2"/>
        <v>0</v>
      </c>
      <c r="O17" s="146"/>
      <c r="P17" s="8">
        <v>4</v>
      </c>
      <c r="Q17">
        <v>2.3779023218574862</v>
      </c>
      <c r="R17">
        <v>2.6131636897479815</v>
      </c>
      <c r="S17">
        <v>2.5066612010657923</v>
      </c>
      <c r="T17" s="9">
        <v>2.9099236641221373</v>
      </c>
    </row>
    <row r="18" spans="1:20" x14ac:dyDescent="0.25">
      <c r="A18" s="125"/>
      <c r="B18" s="16">
        <v>8</v>
      </c>
      <c r="C18" s="16"/>
      <c r="D18" s="16"/>
      <c r="E18" s="16">
        <v>7.76</v>
      </c>
      <c r="F18" s="16"/>
      <c r="G18" s="14"/>
      <c r="H18" s="125"/>
      <c r="I18" s="16">
        <v>8</v>
      </c>
      <c r="J18" s="16">
        <f t="shared" si="3"/>
        <v>0</v>
      </c>
      <c r="K18" s="16">
        <f t="shared" si="2"/>
        <v>0</v>
      </c>
      <c r="L18" s="16">
        <f t="shared" si="2"/>
        <v>1.9600909320535489</v>
      </c>
      <c r="M18" s="16">
        <f t="shared" si="2"/>
        <v>0</v>
      </c>
      <c r="O18" s="146"/>
      <c r="P18" s="8">
        <v>8</v>
      </c>
      <c r="Q18">
        <v>3.2433566433566434</v>
      </c>
      <c r="R18">
        <v>2.5780783767654665</v>
      </c>
      <c r="S18">
        <v>2.5227027859011852</v>
      </c>
      <c r="T18" s="9">
        <v>1.915821501014199</v>
      </c>
    </row>
    <row r="19" spans="1:20" ht="16.5" thickBot="1" x14ac:dyDescent="0.3">
      <c r="A19" s="125"/>
      <c r="B19" s="16">
        <v>16</v>
      </c>
      <c r="C19" s="16"/>
      <c r="D19" s="16"/>
      <c r="E19" s="16"/>
      <c r="F19" s="16"/>
      <c r="G19" s="14"/>
      <c r="H19" s="125"/>
      <c r="I19" s="16">
        <v>16</v>
      </c>
      <c r="J19" s="16"/>
      <c r="K19" s="16"/>
      <c r="L19" s="16"/>
      <c r="M19" s="16"/>
      <c r="O19" s="147"/>
      <c r="P19" s="10">
        <v>16</v>
      </c>
      <c r="Q19" s="126" t="s">
        <v>100</v>
      </c>
      <c r="R19" s="126"/>
      <c r="S19" s="126"/>
      <c r="T19" s="127"/>
    </row>
    <row r="20" spans="1:20" ht="16.5" thickBot="1" x14ac:dyDescent="0.3">
      <c r="A20" s="15"/>
      <c r="B20" s="16"/>
      <c r="C20" s="16"/>
      <c r="D20" s="16"/>
      <c r="E20" s="16"/>
      <c r="F20" s="16"/>
      <c r="G20" s="14"/>
      <c r="H20" s="15"/>
      <c r="I20" s="16"/>
      <c r="J20" s="16"/>
      <c r="K20" s="16"/>
      <c r="L20" s="16"/>
      <c r="M20" s="16"/>
      <c r="O20" s="121"/>
      <c r="P20" s="122"/>
      <c r="Q20" s="122"/>
      <c r="R20" s="122"/>
      <c r="S20" s="122"/>
      <c r="T20" s="123"/>
    </row>
    <row r="21" spans="1:20" ht="16.5" customHeight="1" thickBot="1" x14ac:dyDescent="0.3">
      <c r="A21" s="1"/>
      <c r="B21" s="28"/>
      <c r="C21" s="115" t="s">
        <v>101</v>
      </c>
      <c r="D21" s="116"/>
      <c r="E21" s="116"/>
      <c r="F21" s="117"/>
      <c r="G21" s="1"/>
      <c r="H21" s="1"/>
      <c r="I21" s="1"/>
      <c r="J21" s="1"/>
      <c r="K21" s="1"/>
      <c r="L21" s="1"/>
      <c r="M21" s="1"/>
      <c r="O21" s="145" t="s">
        <v>42</v>
      </c>
      <c r="P21" s="22" t="s">
        <v>37</v>
      </c>
      <c r="Q21" s="23" t="s">
        <v>38</v>
      </c>
      <c r="R21" s="23" t="s">
        <v>39</v>
      </c>
      <c r="S21" s="23" t="s">
        <v>40</v>
      </c>
      <c r="T21" s="24" t="s">
        <v>41</v>
      </c>
    </row>
    <row r="22" spans="1:20" x14ac:dyDescent="0.25">
      <c r="A22" s="1"/>
      <c r="B22" s="29" t="s">
        <v>37</v>
      </c>
      <c r="C22" s="18" t="s">
        <v>38</v>
      </c>
      <c r="D22" s="18" t="s">
        <v>39</v>
      </c>
      <c r="E22" s="18" t="s">
        <v>40</v>
      </c>
      <c r="F22" s="18" t="s">
        <v>41</v>
      </c>
      <c r="G22" s="1"/>
      <c r="H22" s="1"/>
      <c r="I22" s="18" t="s">
        <v>37</v>
      </c>
      <c r="J22" s="18" t="s">
        <v>38</v>
      </c>
      <c r="K22" s="18" t="s">
        <v>39</v>
      </c>
      <c r="L22" s="18" t="s">
        <v>40</v>
      </c>
      <c r="M22" s="18" t="s">
        <v>41</v>
      </c>
      <c r="O22" s="146"/>
      <c r="P22" s="25">
        <v>2</v>
      </c>
      <c r="Q22" s="26">
        <v>3.2507204610951006</v>
      </c>
      <c r="R22" s="26">
        <v>3.0193121693121694</v>
      </c>
      <c r="S22" s="26">
        <v>3.6228737690241721</v>
      </c>
      <c r="T22" s="27">
        <v>4.7107299024554328</v>
      </c>
    </row>
    <row r="23" spans="1:20" x14ac:dyDescent="0.25">
      <c r="A23" s="102" t="s">
        <v>42</v>
      </c>
      <c r="B23" s="1">
        <v>2</v>
      </c>
      <c r="C23" s="1"/>
      <c r="D23" s="1"/>
      <c r="E23" s="1">
        <v>14.2</v>
      </c>
      <c r="F23" s="1"/>
      <c r="G23" s="1"/>
      <c r="H23" s="102" t="s">
        <v>42</v>
      </c>
      <c r="I23" s="1">
        <v>2</v>
      </c>
      <c r="J23" s="1">
        <f>C23/C4</f>
        <v>0</v>
      </c>
      <c r="K23" s="1">
        <f t="shared" ref="K23:M25" si="4">D23/D4</f>
        <v>0</v>
      </c>
      <c r="L23" s="1">
        <f t="shared" si="4"/>
        <v>4.4388871522350737</v>
      </c>
      <c r="M23" s="1">
        <f t="shared" si="4"/>
        <v>0</v>
      </c>
      <c r="O23" s="146"/>
      <c r="P23" s="8">
        <v>4</v>
      </c>
      <c r="Q23">
        <v>3.2666132906325061</v>
      </c>
      <c r="R23">
        <v>3.1854661120626377</v>
      </c>
      <c r="S23">
        <v>3.9159663865546226</v>
      </c>
      <c r="T23" s="9">
        <v>4.6931297709923667</v>
      </c>
    </row>
    <row r="24" spans="1:20" x14ac:dyDescent="0.25">
      <c r="A24" s="102"/>
      <c r="B24" s="1">
        <v>4</v>
      </c>
      <c r="C24" s="1"/>
      <c r="D24" s="1"/>
      <c r="E24" s="1">
        <v>20.100000000000001</v>
      </c>
      <c r="F24" s="1"/>
      <c r="G24" s="1"/>
      <c r="H24" s="102"/>
      <c r="I24" s="1">
        <v>4</v>
      </c>
      <c r="J24" s="1">
        <f t="shared" ref="J24:J25" si="5">C24/C5</f>
        <v>0</v>
      </c>
      <c r="K24" s="1">
        <f t="shared" si="4"/>
        <v>0</v>
      </c>
      <c r="L24" s="1">
        <f t="shared" si="4"/>
        <v>5.8058925476603118</v>
      </c>
      <c r="M24" s="1">
        <f t="shared" si="4"/>
        <v>0</v>
      </c>
      <c r="O24" s="146"/>
      <c r="P24" s="8">
        <v>8</v>
      </c>
      <c r="Q24">
        <v>3.0046620046620047</v>
      </c>
      <c r="R24">
        <v>2.6297990849413169</v>
      </c>
      <c r="S24">
        <v>3.0475604124980764</v>
      </c>
      <c r="T24" s="9">
        <v>3.1382352941176475</v>
      </c>
    </row>
    <row r="25" spans="1:20" ht="16.5" thickBot="1" x14ac:dyDescent="0.3">
      <c r="A25" s="102"/>
      <c r="B25" s="1">
        <v>8</v>
      </c>
      <c r="C25" s="1"/>
      <c r="D25" s="1"/>
      <c r="E25" s="1">
        <v>21.2</v>
      </c>
      <c r="F25" s="1"/>
      <c r="G25" s="1"/>
      <c r="H25" s="102"/>
      <c r="I25" s="1">
        <v>8</v>
      </c>
      <c r="J25" s="1">
        <f t="shared" si="5"/>
        <v>0</v>
      </c>
      <c r="K25" s="1">
        <f t="shared" si="4"/>
        <v>0</v>
      </c>
      <c r="L25" s="1">
        <f t="shared" si="4"/>
        <v>5.3548875978782515</v>
      </c>
      <c r="M25" s="1">
        <f t="shared" si="4"/>
        <v>0</v>
      </c>
      <c r="O25" s="147"/>
      <c r="P25" s="10">
        <v>16</v>
      </c>
      <c r="Q25" s="126" t="s">
        <v>100</v>
      </c>
      <c r="R25" s="126"/>
      <c r="S25" s="126"/>
      <c r="T25" s="127"/>
    </row>
    <row r="26" spans="1:20" ht="16.5" thickBot="1" x14ac:dyDescent="0.3">
      <c r="A26" s="102"/>
      <c r="B26" s="1">
        <v>16</v>
      </c>
      <c r="C26" s="1"/>
      <c r="D26" s="1"/>
      <c r="E26" s="1"/>
      <c r="F26" s="1"/>
      <c r="G26" s="1"/>
      <c r="H26" s="102"/>
      <c r="I26" s="1">
        <v>16</v>
      </c>
      <c r="J26" s="1"/>
      <c r="K26" s="1"/>
      <c r="L26" s="1"/>
      <c r="M26" s="1"/>
      <c r="O26" s="121"/>
      <c r="P26" s="122"/>
      <c r="Q26" s="122"/>
      <c r="R26" s="122"/>
      <c r="S26" s="122"/>
      <c r="T26" s="123"/>
    </row>
    <row r="27" spans="1:20" ht="16.5" thickBot="1" x14ac:dyDescent="0.3">
      <c r="O27" s="145" t="s">
        <v>88</v>
      </c>
      <c r="P27" s="34" t="s">
        <v>37</v>
      </c>
      <c r="Q27" s="35" t="s">
        <v>87</v>
      </c>
      <c r="R27" s="35" t="s">
        <v>84</v>
      </c>
      <c r="S27" s="35" t="s">
        <v>85</v>
      </c>
      <c r="T27" s="36" t="s">
        <v>86</v>
      </c>
    </row>
    <row r="28" spans="1:20" x14ac:dyDescent="0.25">
      <c r="A28" s="134" t="s">
        <v>112</v>
      </c>
      <c r="B28" s="139" t="s">
        <v>101</v>
      </c>
      <c r="C28" s="139"/>
      <c r="D28" s="148" t="s">
        <v>108</v>
      </c>
      <c r="O28" s="146"/>
      <c r="P28" s="32">
        <v>2</v>
      </c>
      <c r="Q28" s="33">
        <v>3.47</v>
      </c>
      <c r="R28" s="33">
        <v>3.78</v>
      </c>
      <c r="S28" s="33">
        <v>4.468</v>
      </c>
      <c r="T28" s="37">
        <v>5.9459999999999997</v>
      </c>
    </row>
    <row r="29" spans="1:20" x14ac:dyDescent="0.25">
      <c r="A29" s="136"/>
      <c r="B29" s="30" t="s">
        <v>37</v>
      </c>
      <c r="C29" s="69" t="s">
        <v>113</v>
      </c>
      <c r="D29" s="148"/>
      <c r="E29" s="72"/>
      <c r="O29" s="146"/>
      <c r="P29" s="31">
        <v>4</v>
      </c>
      <c r="Q29" s="16">
        <v>3.7469999999999999</v>
      </c>
      <c r="R29" s="16">
        <v>4.0869999999999997</v>
      </c>
      <c r="S29" s="16">
        <v>4.8789999999999996</v>
      </c>
      <c r="T29" s="38">
        <v>6.55</v>
      </c>
    </row>
    <row r="30" spans="1:20" x14ac:dyDescent="0.25">
      <c r="A30" s="137" t="s">
        <v>137</v>
      </c>
      <c r="B30" s="16">
        <v>2</v>
      </c>
      <c r="C30" s="16">
        <v>15.11</v>
      </c>
      <c r="D30" s="1">
        <v>4.7233510472022511</v>
      </c>
      <c r="E30" s="70"/>
      <c r="O30" s="146"/>
      <c r="P30" s="31">
        <v>8</v>
      </c>
      <c r="Q30" s="16">
        <v>4.29</v>
      </c>
      <c r="R30" s="16">
        <v>5.0270000000000001</v>
      </c>
      <c r="S30" s="16">
        <v>6.4969999999999999</v>
      </c>
      <c r="T30" s="38">
        <v>9.86</v>
      </c>
    </row>
    <row r="31" spans="1:20" ht="16.5" thickBot="1" x14ac:dyDescent="0.3">
      <c r="A31" s="137"/>
      <c r="B31" s="16">
        <v>4</v>
      </c>
      <c r="C31" s="16">
        <v>31.04</v>
      </c>
      <c r="D31" s="1">
        <v>8.9659156556903525</v>
      </c>
      <c r="E31" s="70"/>
      <c r="O31" s="147"/>
      <c r="P31" s="39">
        <v>16</v>
      </c>
      <c r="Q31" s="40">
        <v>8.3170000000000002</v>
      </c>
      <c r="R31" s="40">
        <v>9.7200000000000006</v>
      </c>
      <c r="S31" s="40">
        <v>12.97</v>
      </c>
      <c r="T31" s="41">
        <v>25.47</v>
      </c>
    </row>
    <row r="32" spans="1:20" x14ac:dyDescent="0.25">
      <c r="A32" s="137"/>
      <c r="B32" s="16">
        <v>8</v>
      </c>
      <c r="C32" s="16">
        <v>35.03</v>
      </c>
      <c r="D32" s="1">
        <v>8.8481939883809044</v>
      </c>
      <c r="E32" s="70"/>
    </row>
    <row r="33" spans="1:6" x14ac:dyDescent="0.25">
      <c r="A33" s="137"/>
      <c r="B33" s="16">
        <v>16</v>
      </c>
      <c r="C33" s="1" t="s">
        <v>100</v>
      </c>
      <c r="D33" s="1" t="s">
        <v>100</v>
      </c>
    </row>
    <row r="34" spans="1:6" x14ac:dyDescent="0.25">
      <c r="A34" s="140"/>
      <c r="B34" s="141"/>
      <c r="C34" s="141"/>
      <c r="D34" s="142"/>
    </row>
    <row r="35" spans="1:6" x14ac:dyDescent="0.25">
      <c r="A35" s="137" t="s">
        <v>138</v>
      </c>
      <c r="B35" s="16">
        <v>2</v>
      </c>
      <c r="C35" s="16">
        <v>9.8699999999999992</v>
      </c>
      <c r="D35" s="1">
        <v>3.0853391684901532</v>
      </c>
      <c r="E35" s="70"/>
    </row>
    <row r="36" spans="1:6" x14ac:dyDescent="0.25">
      <c r="A36" s="137"/>
      <c r="B36" s="16">
        <v>4</v>
      </c>
      <c r="C36" s="16">
        <v>8.5</v>
      </c>
      <c r="D36" s="1">
        <v>2.4552281917966492</v>
      </c>
      <c r="E36" s="70"/>
    </row>
    <row r="37" spans="1:6" x14ac:dyDescent="0.25">
      <c r="A37" s="137"/>
      <c r="B37" s="16">
        <v>8</v>
      </c>
      <c r="C37" s="16">
        <v>7.76</v>
      </c>
      <c r="D37" s="1">
        <v>1.9600909320535489</v>
      </c>
      <c r="E37" s="70"/>
    </row>
    <row r="38" spans="1:6" x14ac:dyDescent="0.25">
      <c r="A38" s="137"/>
      <c r="B38" s="16">
        <v>16</v>
      </c>
      <c r="C38" s="1" t="s">
        <v>100</v>
      </c>
      <c r="D38" s="1" t="s">
        <v>100</v>
      </c>
    </row>
    <row r="39" spans="1:6" x14ac:dyDescent="0.25">
      <c r="A39" s="143"/>
      <c r="B39" s="144"/>
      <c r="C39" s="144"/>
      <c r="D39" s="101"/>
    </row>
    <row r="40" spans="1:6" x14ac:dyDescent="0.25">
      <c r="A40" s="138" t="s">
        <v>139</v>
      </c>
      <c r="B40" s="16">
        <v>2</v>
      </c>
      <c r="C40" s="16">
        <v>14.2</v>
      </c>
      <c r="D40" s="1">
        <v>4.4388871522350737</v>
      </c>
      <c r="E40" s="70"/>
    </row>
    <row r="41" spans="1:6" x14ac:dyDescent="0.25">
      <c r="A41" s="138"/>
      <c r="B41" s="16">
        <v>4</v>
      </c>
      <c r="C41" s="16">
        <v>20.100000000000001</v>
      </c>
      <c r="D41" s="1">
        <v>5.8058925476603118</v>
      </c>
      <c r="E41" s="70"/>
    </row>
    <row r="42" spans="1:6" x14ac:dyDescent="0.25">
      <c r="A42" s="138"/>
      <c r="B42" s="16">
        <v>8</v>
      </c>
      <c r="C42" s="16">
        <v>21.2</v>
      </c>
      <c r="D42" s="1">
        <v>5.3548875978782515</v>
      </c>
      <c r="E42" s="70"/>
    </row>
    <row r="43" spans="1:6" x14ac:dyDescent="0.25">
      <c r="A43" s="138"/>
      <c r="B43" s="16">
        <v>16</v>
      </c>
      <c r="C43" s="1" t="s">
        <v>100</v>
      </c>
      <c r="D43" s="1" t="s">
        <v>100</v>
      </c>
    </row>
    <row r="44" spans="1:6" x14ac:dyDescent="0.25">
      <c r="A44" s="131"/>
      <c r="B44" s="133"/>
      <c r="C44" s="131" t="s">
        <v>89</v>
      </c>
      <c r="D44" s="132"/>
      <c r="E44" s="132"/>
      <c r="F44" s="133"/>
    </row>
    <row r="45" spans="1:6" x14ac:dyDescent="0.25">
      <c r="A45" s="134" t="s">
        <v>141</v>
      </c>
      <c r="B45" s="43" t="s">
        <v>37</v>
      </c>
      <c r="C45" s="43" t="s">
        <v>87</v>
      </c>
      <c r="D45" s="43" t="s">
        <v>84</v>
      </c>
      <c r="E45" s="43" t="s">
        <v>85</v>
      </c>
      <c r="F45" s="43" t="s">
        <v>86</v>
      </c>
    </row>
    <row r="46" spans="1:6" x14ac:dyDescent="0.25">
      <c r="A46" s="135"/>
      <c r="B46" s="44">
        <v>2</v>
      </c>
      <c r="C46" s="44">
        <v>2.1440000000000001</v>
      </c>
      <c r="D46" s="44">
        <v>2.57</v>
      </c>
      <c r="E46" s="44">
        <v>3.1989999999999998</v>
      </c>
      <c r="F46" s="44">
        <v>4.7</v>
      </c>
    </row>
    <row r="47" spans="1:6" x14ac:dyDescent="0.25">
      <c r="A47" s="135"/>
      <c r="B47" s="44">
        <v>4</v>
      </c>
      <c r="C47" s="44">
        <v>2.2850000000000001</v>
      </c>
      <c r="D47" s="44">
        <v>2.71</v>
      </c>
      <c r="E47" s="44">
        <v>3.4620000000000002</v>
      </c>
      <c r="F47" s="44">
        <v>4.8170000000000002</v>
      </c>
    </row>
    <row r="48" spans="1:6" x14ac:dyDescent="0.25">
      <c r="A48" s="135"/>
      <c r="B48" s="44">
        <v>8</v>
      </c>
      <c r="C48" s="44">
        <v>2.8820000000000001</v>
      </c>
      <c r="D48" s="44">
        <v>3.2850000000000001</v>
      </c>
      <c r="E48" s="44">
        <v>3.9590000000000001</v>
      </c>
      <c r="F48" s="44">
        <v>5.0659999999999998</v>
      </c>
    </row>
    <row r="49" spans="1:6" x14ac:dyDescent="0.25">
      <c r="A49" s="136"/>
      <c r="B49" s="44">
        <v>16</v>
      </c>
      <c r="C49" s="44">
        <v>4.1379999999999999</v>
      </c>
      <c r="D49" s="44">
        <v>6.39</v>
      </c>
      <c r="E49" s="44">
        <v>7.36</v>
      </c>
      <c r="F49" s="44">
        <v>11.58</v>
      </c>
    </row>
  </sheetData>
  <mergeCells count="35">
    <mergeCell ref="O8:T8"/>
    <mergeCell ref="A2:A3"/>
    <mergeCell ref="C2:F2"/>
    <mergeCell ref="A4:A7"/>
    <mergeCell ref="C8:F8"/>
    <mergeCell ref="J8:M8"/>
    <mergeCell ref="O9:O13"/>
    <mergeCell ref="A10:A13"/>
    <mergeCell ref="H10:H13"/>
    <mergeCell ref="C14:F14"/>
    <mergeCell ref="J14:M14"/>
    <mergeCell ref="O14:T14"/>
    <mergeCell ref="C21:F21"/>
    <mergeCell ref="O21:O25"/>
    <mergeCell ref="A23:A26"/>
    <mergeCell ref="H23:H26"/>
    <mergeCell ref="Q25:T25"/>
    <mergeCell ref="O15:O19"/>
    <mergeCell ref="A16:A19"/>
    <mergeCell ref="H16:H19"/>
    <mergeCell ref="Q19:T19"/>
    <mergeCell ref="O20:T20"/>
    <mergeCell ref="B28:C28"/>
    <mergeCell ref="A34:D34"/>
    <mergeCell ref="A39:D39"/>
    <mergeCell ref="A28:A29"/>
    <mergeCell ref="O26:T26"/>
    <mergeCell ref="O27:O31"/>
    <mergeCell ref="A30:A33"/>
    <mergeCell ref="D28:D29"/>
    <mergeCell ref="C44:F44"/>
    <mergeCell ref="A45:A49"/>
    <mergeCell ref="A44:B44"/>
    <mergeCell ref="A35:A38"/>
    <mergeCell ref="A40:A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A564-5981-453A-A5F4-03E2DB9591B0}">
  <dimension ref="A1:T33"/>
  <sheetViews>
    <sheetView topLeftCell="A19" zoomScale="91" workbookViewId="0">
      <selection activeCell="B28" sqref="B28:F32"/>
    </sheetView>
  </sheetViews>
  <sheetFormatPr defaultRowHeight="15.75" x14ac:dyDescent="0.25"/>
  <cols>
    <col min="1" max="1" width="14" bestFit="1" customWidth="1"/>
    <col min="2" max="2" width="9.375" bestFit="1" customWidth="1"/>
    <col min="3" max="3" width="9.5" bestFit="1" customWidth="1"/>
    <col min="4" max="6" width="8.75" bestFit="1" customWidth="1"/>
    <col min="9" max="9" width="9.375" bestFit="1" customWidth="1"/>
    <col min="10" max="13" width="11.625" bestFit="1" customWidth="1"/>
    <col min="16" max="16" width="9.375" bestFit="1" customWidth="1"/>
    <col min="17" max="20" width="8.75" bestFit="1" customWidth="1"/>
  </cols>
  <sheetData>
    <row r="1" spans="1:20" x14ac:dyDescent="0.25">
      <c r="C1" t="s">
        <v>106</v>
      </c>
    </row>
    <row r="2" spans="1:20" ht="15.95" customHeight="1" x14ac:dyDescent="0.25">
      <c r="A2" s="124" t="s">
        <v>90</v>
      </c>
      <c r="B2" s="17"/>
      <c r="C2" s="124" t="s">
        <v>89</v>
      </c>
      <c r="D2" s="124"/>
      <c r="E2" s="124"/>
      <c r="F2" s="124"/>
      <c r="G2" s="14"/>
      <c r="H2" s="14"/>
      <c r="I2" s="14"/>
      <c r="J2" s="14"/>
      <c r="K2" s="14"/>
      <c r="L2" s="14"/>
      <c r="M2" s="14"/>
    </row>
    <row r="3" spans="1:20" ht="31.5" x14ac:dyDescent="0.25">
      <c r="A3" s="124"/>
      <c r="B3" s="43" t="s">
        <v>37</v>
      </c>
      <c r="C3" s="43" t="s">
        <v>87</v>
      </c>
      <c r="D3" s="43" t="s">
        <v>84</v>
      </c>
      <c r="E3" s="43" t="s">
        <v>85</v>
      </c>
      <c r="F3" s="43" t="s">
        <v>86</v>
      </c>
      <c r="G3" s="14"/>
      <c r="H3" s="14"/>
      <c r="I3" s="14"/>
      <c r="J3" s="14"/>
      <c r="K3" s="14"/>
      <c r="L3" s="14"/>
      <c r="M3" s="14"/>
    </row>
    <row r="4" spans="1:20" x14ac:dyDescent="0.25">
      <c r="A4" s="125" t="s">
        <v>88</v>
      </c>
      <c r="B4" s="44"/>
      <c r="C4" s="44"/>
      <c r="D4" s="44"/>
      <c r="E4" s="44"/>
      <c r="F4" s="44"/>
      <c r="G4" s="14"/>
      <c r="H4" s="16">
        <v>2</v>
      </c>
      <c r="I4" s="16">
        <v>6.85</v>
      </c>
      <c r="J4" s="16">
        <v>9.08</v>
      </c>
      <c r="K4" s="16">
        <v>11.77</v>
      </c>
      <c r="L4" s="16">
        <v>18.776</v>
      </c>
      <c r="M4" s="14"/>
    </row>
    <row r="5" spans="1:20" x14ac:dyDescent="0.25">
      <c r="A5" s="125"/>
      <c r="B5" s="44"/>
      <c r="C5" s="44"/>
      <c r="D5" s="44"/>
      <c r="E5" s="44"/>
      <c r="F5" s="44"/>
      <c r="G5" s="14"/>
      <c r="H5" s="16">
        <v>4</v>
      </c>
      <c r="I5" s="16">
        <v>8.91</v>
      </c>
      <c r="J5" s="16">
        <v>10.68</v>
      </c>
      <c r="K5" s="16">
        <v>12.23</v>
      </c>
      <c r="L5" s="16">
        <v>19.059999999999999</v>
      </c>
      <c r="M5" s="14"/>
    </row>
    <row r="6" spans="1:20" x14ac:dyDescent="0.25">
      <c r="A6" s="125"/>
      <c r="B6" s="44"/>
      <c r="C6" s="44"/>
      <c r="D6" s="44"/>
      <c r="E6" s="44"/>
      <c r="F6" s="44"/>
      <c r="G6" s="14"/>
      <c r="H6" s="14"/>
      <c r="I6" s="14"/>
      <c r="J6" s="14"/>
      <c r="K6" s="14"/>
      <c r="L6" s="14"/>
      <c r="M6" s="14"/>
    </row>
    <row r="7" spans="1:20" ht="16.5" thickBot="1" x14ac:dyDescent="0.3">
      <c r="A7" s="125"/>
      <c r="B7" s="44"/>
      <c r="C7" s="44"/>
      <c r="D7" s="44"/>
      <c r="E7" s="44"/>
      <c r="F7" s="44"/>
      <c r="G7" s="14"/>
      <c r="H7" s="14"/>
      <c r="I7" s="14"/>
      <c r="J7" s="14"/>
      <c r="K7" s="14"/>
      <c r="L7" s="14"/>
      <c r="M7" s="14"/>
    </row>
    <row r="8" spans="1:20" ht="15.75" customHeight="1" thickBot="1" x14ac:dyDescent="0.3">
      <c r="A8" s="15"/>
      <c r="B8" s="17"/>
      <c r="C8" s="131" t="s">
        <v>89</v>
      </c>
      <c r="D8" s="132"/>
      <c r="E8" s="132"/>
      <c r="F8" s="133"/>
      <c r="G8" s="14"/>
      <c r="H8" s="15"/>
      <c r="I8" s="17"/>
      <c r="J8" s="124" t="s">
        <v>89</v>
      </c>
      <c r="K8" s="124"/>
      <c r="L8" s="124"/>
      <c r="M8" s="124"/>
      <c r="O8" s="128"/>
      <c r="P8" s="129"/>
      <c r="Q8" s="129"/>
      <c r="R8" s="129"/>
      <c r="S8" s="129"/>
      <c r="T8" s="130"/>
    </row>
    <row r="9" spans="1:20" ht="16.5" thickBot="1" x14ac:dyDescent="0.3">
      <c r="A9" s="14"/>
      <c r="B9" s="30" t="s">
        <v>37</v>
      </c>
      <c r="C9" s="13" t="s">
        <v>87</v>
      </c>
      <c r="D9" s="13" t="s">
        <v>84</v>
      </c>
      <c r="E9" s="13" t="s">
        <v>85</v>
      </c>
      <c r="F9" s="13" t="s">
        <v>86</v>
      </c>
      <c r="G9" s="14"/>
      <c r="H9" s="14"/>
      <c r="I9" s="18" t="s">
        <v>37</v>
      </c>
      <c r="J9" s="13" t="s">
        <v>87</v>
      </c>
      <c r="K9" s="13" t="s">
        <v>84</v>
      </c>
      <c r="L9" s="13" t="s">
        <v>85</v>
      </c>
      <c r="M9" s="13" t="s">
        <v>86</v>
      </c>
      <c r="O9" s="145"/>
      <c r="P9" s="19"/>
      <c r="Q9" s="20"/>
      <c r="R9" s="20"/>
      <c r="S9" s="20"/>
      <c r="T9" s="21"/>
    </row>
    <row r="10" spans="1:20" x14ac:dyDescent="0.25">
      <c r="A10" s="125" t="s">
        <v>91</v>
      </c>
      <c r="B10" s="16"/>
      <c r="C10" s="16"/>
      <c r="D10" s="16"/>
      <c r="E10" s="16"/>
      <c r="F10" s="16"/>
      <c r="G10" s="14"/>
      <c r="H10" s="125" t="s">
        <v>91</v>
      </c>
      <c r="I10" s="16">
        <v>2</v>
      </c>
      <c r="J10" s="16" t="e">
        <f>C10/C4</f>
        <v>#DIV/0!</v>
      </c>
      <c r="K10" s="16" t="e">
        <f t="shared" ref="K10:M13" si="0">D10/D4</f>
        <v>#DIV/0!</v>
      </c>
      <c r="L10" s="16" t="e">
        <f t="shared" si="0"/>
        <v>#DIV/0!</v>
      </c>
      <c r="M10" s="16" t="e">
        <f t="shared" si="0"/>
        <v>#DIV/0!</v>
      </c>
      <c r="O10" s="146"/>
      <c r="P10" s="8"/>
      <c r="T10" s="9"/>
    </row>
    <row r="11" spans="1:20" x14ac:dyDescent="0.25">
      <c r="A11" s="125"/>
      <c r="B11" s="16"/>
      <c r="C11" s="16"/>
      <c r="D11" s="16"/>
      <c r="E11" s="16"/>
      <c r="F11" s="16"/>
      <c r="G11" s="14"/>
      <c r="H11" s="125"/>
      <c r="I11" s="16">
        <v>4</v>
      </c>
      <c r="J11" s="16" t="e">
        <f t="shared" ref="J11:J13" si="1">C11/C5</f>
        <v>#DIV/0!</v>
      </c>
      <c r="K11" s="16" t="e">
        <f t="shared" si="0"/>
        <v>#DIV/0!</v>
      </c>
      <c r="L11" s="16" t="e">
        <f t="shared" si="0"/>
        <v>#DIV/0!</v>
      </c>
      <c r="M11" s="16" t="e">
        <f t="shared" si="0"/>
        <v>#DIV/0!</v>
      </c>
      <c r="O11" s="146"/>
      <c r="P11" s="8"/>
      <c r="T11" s="9"/>
    </row>
    <row r="12" spans="1:20" x14ac:dyDescent="0.25">
      <c r="A12" s="125"/>
      <c r="B12" s="16"/>
      <c r="C12" s="16"/>
      <c r="D12" s="16"/>
      <c r="E12" s="16"/>
      <c r="F12" s="16"/>
      <c r="G12" s="14"/>
      <c r="H12" s="125"/>
      <c r="I12" s="16">
        <v>8</v>
      </c>
      <c r="J12" s="16" t="e">
        <f t="shared" si="1"/>
        <v>#DIV/0!</v>
      </c>
      <c r="K12" s="16" t="e">
        <f t="shared" si="0"/>
        <v>#DIV/0!</v>
      </c>
      <c r="L12" s="16" t="e">
        <f t="shared" si="0"/>
        <v>#DIV/0!</v>
      </c>
      <c r="M12" s="16" t="e">
        <f t="shared" si="0"/>
        <v>#DIV/0!</v>
      </c>
      <c r="O12" s="146"/>
      <c r="P12" s="8"/>
      <c r="T12" s="9"/>
    </row>
    <row r="13" spans="1:20" ht="16.5" thickBot="1" x14ac:dyDescent="0.3">
      <c r="A13" s="125"/>
      <c r="B13" s="16"/>
      <c r="C13" s="16"/>
      <c r="D13" s="16"/>
      <c r="E13" s="16"/>
      <c r="F13" s="16"/>
      <c r="G13" s="14"/>
      <c r="H13" s="125"/>
      <c r="I13" s="16">
        <v>16</v>
      </c>
      <c r="J13" s="16" t="e">
        <f t="shared" si="1"/>
        <v>#DIV/0!</v>
      </c>
      <c r="K13" s="16" t="e">
        <f t="shared" si="0"/>
        <v>#DIV/0!</v>
      </c>
      <c r="L13" s="16" t="e">
        <f t="shared" si="0"/>
        <v>#DIV/0!</v>
      </c>
      <c r="M13" s="16" t="e">
        <f t="shared" si="0"/>
        <v>#DIV/0!</v>
      </c>
      <c r="O13" s="147"/>
      <c r="P13" s="10"/>
      <c r="Q13" s="11"/>
      <c r="R13" s="11"/>
      <c r="S13" s="11"/>
      <c r="T13" s="12"/>
    </row>
    <row r="14" spans="1:20" ht="15.75" customHeight="1" thickBot="1" x14ac:dyDescent="0.3">
      <c r="A14" s="15"/>
      <c r="B14" s="17"/>
      <c r="C14" s="124" t="s">
        <v>89</v>
      </c>
      <c r="D14" s="124"/>
      <c r="E14" s="124"/>
      <c r="F14" s="124"/>
      <c r="G14" s="14"/>
      <c r="H14" s="15"/>
      <c r="I14" s="17"/>
      <c r="J14" s="124" t="s">
        <v>89</v>
      </c>
      <c r="K14" s="124"/>
      <c r="L14" s="124"/>
      <c r="M14" s="124"/>
      <c r="O14" s="121"/>
      <c r="P14" s="122"/>
      <c r="Q14" s="122"/>
      <c r="R14" s="122"/>
      <c r="S14" s="122"/>
      <c r="T14" s="123"/>
    </row>
    <row r="15" spans="1:20" ht="16.5" thickBot="1" x14ac:dyDescent="0.3">
      <c r="A15" s="14"/>
      <c r="B15" s="30" t="s">
        <v>37</v>
      </c>
      <c r="C15" s="13" t="s">
        <v>87</v>
      </c>
      <c r="D15" s="13" t="s">
        <v>84</v>
      </c>
      <c r="E15" s="13" t="s">
        <v>85</v>
      </c>
      <c r="F15" s="13" t="s">
        <v>86</v>
      </c>
      <c r="G15" s="14"/>
      <c r="H15" s="14"/>
      <c r="I15" s="18" t="s">
        <v>37</v>
      </c>
      <c r="J15" s="13" t="s">
        <v>87</v>
      </c>
      <c r="K15" s="13" t="s">
        <v>84</v>
      </c>
      <c r="L15" s="13" t="s">
        <v>85</v>
      </c>
      <c r="M15" s="13" t="s">
        <v>86</v>
      </c>
      <c r="O15" s="145"/>
      <c r="P15" s="19"/>
      <c r="Q15" s="20"/>
      <c r="R15" s="20"/>
      <c r="S15" s="20"/>
      <c r="T15" s="21"/>
    </row>
    <row r="16" spans="1:20" x14ac:dyDescent="0.25">
      <c r="A16" s="125" t="s">
        <v>43</v>
      </c>
      <c r="B16" s="16"/>
      <c r="C16" s="16"/>
      <c r="D16" s="16"/>
      <c r="E16" s="16"/>
      <c r="F16" s="16"/>
      <c r="G16" s="14"/>
      <c r="H16" s="125" t="s">
        <v>43</v>
      </c>
      <c r="I16" s="16">
        <v>2</v>
      </c>
      <c r="J16" s="16" t="e">
        <f>C16/C4</f>
        <v>#DIV/0!</v>
      </c>
      <c r="K16" s="16" t="e">
        <f t="shared" ref="K16:M18" si="2">D16/D4</f>
        <v>#DIV/0!</v>
      </c>
      <c r="L16" s="16" t="e">
        <f t="shared" si="2"/>
        <v>#DIV/0!</v>
      </c>
      <c r="M16" s="16" t="e">
        <f t="shared" si="2"/>
        <v>#DIV/0!</v>
      </c>
      <c r="O16" s="146"/>
      <c r="P16" s="8"/>
      <c r="T16" s="9"/>
    </row>
    <row r="17" spans="1:20" x14ac:dyDescent="0.25">
      <c r="A17" s="125"/>
      <c r="B17" s="16"/>
      <c r="C17" s="16"/>
      <c r="D17" s="16"/>
      <c r="E17" s="16"/>
      <c r="F17" s="16"/>
      <c r="G17" s="14"/>
      <c r="H17" s="125"/>
      <c r="I17" s="16">
        <v>4</v>
      </c>
      <c r="J17" s="16" t="e">
        <f t="shared" ref="J17:J18" si="3">C17/C5</f>
        <v>#DIV/0!</v>
      </c>
      <c r="K17" s="16" t="e">
        <f t="shared" si="2"/>
        <v>#DIV/0!</v>
      </c>
      <c r="L17" s="16" t="e">
        <f t="shared" si="2"/>
        <v>#DIV/0!</v>
      </c>
      <c r="M17" s="16" t="e">
        <f t="shared" si="2"/>
        <v>#DIV/0!</v>
      </c>
      <c r="O17" s="146"/>
      <c r="P17" s="8"/>
      <c r="T17" s="9"/>
    </row>
    <row r="18" spans="1:20" x14ac:dyDescent="0.25">
      <c r="A18" s="125"/>
      <c r="B18" s="16"/>
      <c r="C18" s="16"/>
      <c r="D18" s="16"/>
      <c r="E18" s="16"/>
      <c r="F18" s="16"/>
      <c r="G18" s="14"/>
      <c r="H18" s="125"/>
      <c r="I18" s="16">
        <v>8</v>
      </c>
      <c r="J18" s="16" t="e">
        <f t="shared" si="3"/>
        <v>#DIV/0!</v>
      </c>
      <c r="K18" s="16" t="e">
        <f t="shared" si="2"/>
        <v>#DIV/0!</v>
      </c>
      <c r="L18" s="16" t="e">
        <f t="shared" si="2"/>
        <v>#DIV/0!</v>
      </c>
      <c r="M18" s="16" t="e">
        <f t="shared" si="2"/>
        <v>#DIV/0!</v>
      </c>
      <c r="O18" s="146"/>
      <c r="P18" s="8"/>
      <c r="T18" s="9"/>
    </row>
    <row r="19" spans="1:20" ht="16.5" thickBot="1" x14ac:dyDescent="0.3">
      <c r="A19" s="125"/>
      <c r="B19" s="16"/>
      <c r="C19" s="16"/>
      <c r="D19" s="16"/>
      <c r="E19" s="16"/>
      <c r="F19" s="16"/>
      <c r="G19" s="14"/>
      <c r="H19" s="125"/>
      <c r="I19" s="16">
        <v>16</v>
      </c>
      <c r="J19" s="16"/>
      <c r="K19" s="16"/>
      <c r="L19" s="16"/>
      <c r="M19" s="16"/>
      <c r="O19" s="147"/>
      <c r="P19" s="10"/>
      <c r="Q19" s="126"/>
      <c r="R19" s="126"/>
      <c r="S19" s="126"/>
      <c r="T19" s="127"/>
    </row>
    <row r="20" spans="1:20" ht="16.5" thickBot="1" x14ac:dyDescent="0.3">
      <c r="A20" s="15"/>
      <c r="B20" s="16"/>
      <c r="C20" s="16"/>
      <c r="D20" s="16"/>
      <c r="E20" s="16"/>
      <c r="F20" s="16"/>
      <c r="G20" s="14"/>
      <c r="H20" s="15"/>
      <c r="I20" s="16"/>
      <c r="J20" s="16"/>
      <c r="K20" s="16"/>
      <c r="L20" s="16"/>
      <c r="M20" s="16"/>
      <c r="O20" s="121"/>
      <c r="P20" s="122"/>
      <c r="Q20" s="122"/>
      <c r="R20" s="122"/>
      <c r="S20" s="122"/>
      <c r="T20" s="123"/>
    </row>
    <row r="21" spans="1:20" ht="16.5" customHeight="1" thickBot="1" x14ac:dyDescent="0.3">
      <c r="A21" s="1"/>
      <c r="B21" s="28"/>
      <c r="C21" s="115" t="s">
        <v>101</v>
      </c>
      <c r="D21" s="116"/>
      <c r="E21" s="116"/>
      <c r="F21" s="117"/>
      <c r="G21" s="1"/>
      <c r="H21" s="1"/>
      <c r="I21" s="1"/>
      <c r="J21" s="1"/>
      <c r="K21" s="1"/>
      <c r="L21" s="1"/>
      <c r="M21" s="1"/>
      <c r="O21" s="145"/>
      <c r="P21" s="22"/>
      <c r="Q21" s="23"/>
      <c r="R21" s="23"/>
      <c r="S21" s="23"/>
      <c r="T21" s="24"/>
    </row>
    <row r="22" spans="1:20" x14ac:dyDescent="0.25">
      <c r="A22" s="1"/>
      <c r="B22" s="29" t="s">
        <v>37</v>
      </c>
      <c r="C22" s="18" t="s">
        <v>38</v>
      </c>
      <c r="D22" s="18" t="s">
        <v>39</v>
      </c>
      <c r="E22" s="18" t="s">
        <v>40</v>
      </c>
      <c r="F22" s="18" t="s">
        <v>41</v>
      </c>
      <c r="G22" s="1"/>
      <c r="H22" s="1"/>
      <c r="I22" s="18" t="s">
        <v>37</v>
      </c>
      <c r="J22" s="18" t="s">
        <v>38</v>
      </c>
      <c r="K22" s="18" t="s">
        <v>39</v>
      </c>
      <c r="L22" s="18" t="s">
        <v>40</v>
      </c>
      <c r="M22" s="18" t="s">
        <v>41</v>
      </c>
      <c r="O22" s="146"/>
      <c r="P22" s="25"/>
      <c r="Q22" s="26"/>
      <c r="R22" s="26"/>
      <c r="S22" s="26"/>
      <c r="T22" s="27"/>
    </row>
    <row r="23" spans="1:20" x14ac:dyDescent="0.25">
      <c r="A23" s="102" t="s">
        <v>42</v>
      </c>
      <c r="B23" s="1"/>
      <c r="C23" s="1"/>
      <c r="D23" s="1"/>
      <c r="E23" s="1"/>
      <c r="F23" s="1"/>
      <c r="G23" s="1"/>
      <c r="H23" s="102" t="s">
        <v>42</v>
      </c>
      <c r="I23" s="1">
        <v>2</v>
      </c>
      <c r="J23" s="1" t="e">
        <f>C23/C4</f>
        <v>#DIV/0!</v>
      </c>
      <c r="K23" s="1" t="e">
        <f t="shared" ref="K23:M25" si="4">D23/D4</f>
        <v>#DIV/0!</v>
      </c>
      <c r="L23" s="1" t="e">
        <f t="shared" si="4"/>
        <v>#DIV/0!</v>
      </c>
      <c r="M23" s="1" t="e">
        <f t="shared" si="4"/>
        <v>#DIV/0!</v>
      </c>
      <c r="O23" s="146"/>
      <c r="P23" s="8"/>
      <c r="T23" s="9"/>
    </row>
    <row r="24" spans="1:20" x14ac:dyDescent="0.25">
      <c r="A24" s="102"/>
      <c r="B24" s="1"/>
      <c r="C24" s="1"/>
      <c r="D24" s="1"/>
      <c r="E24" s="1"/>
      <c r="F24" s="1"/>
      <c r="G24" s="1"/>
      <c r="H24" s="102"/>
      <c r="I24" s="1">
        <v>4</v>
      </c>
      <c r="J24" s="1" t="e">
        <f t="shared" ref="J24:J25" si="5">C24/C5</f>
        <v>#DIV/0!</v>
      </c>
      <c r="K24" s="1" t="e">
        <f t="shared" si="4"/>
        <v>#DIV/0!</v>
      </c>
      <c r="L24" s="1" t="e">
        <f t="shared" si="4"/>
        <v>#DIV/0!</v>
      </c>
      <c r="M24" s="1" t="e">
        <f t="shared" si="4"/>
        <v>#DIV/0!</v>
      </c>
      <c r="O24" s="146"/>
      <c r="P24" s="8"/>
      <c r="T24" s="9"/>
    </row>
    <row r="25" spans="1:20" ht="16.5" thickBot="1" x14ac:dyDescent="0.3">
      <c r="A25" s="102"/>
      <c r="B25" s="1"/>
      <c r="C25" s="1"/>
      <c r="D25" s="1"/>
      <c r="E25" s="1"/>
      <c r="F25" s="1"/>
      <c r="G25" s="1"/>
      <c r="H25" s="102"/>
      <c r="I25" s="1">
        <v>8</v>
      </c>
      <c r="J25" s="1" t="e">
        <f t="shared" si="5"/>
        <v>#DIV/0!</v>
      </c>
      <c r="K25" s="1" t="e">
        <f t="shared" si="4"/>
        <v>#DIV/0!</v>
      </c>
      <c r="L25" s="1" t="e">
        <f t="shared" si="4"/>
        <v>#DIV/0!</v>
      </c>
      <c r="M25" s="1" t="e">
        <f t="shared" si="4"/>
        <v>#DIV/0!</v>
      </c>
      <c r="O25" s="147"/>
      <c r="P25" s="10"/>
      <c r="Q25" s="126"/>
      <c r="R25" s="126"/>
      <c r="S25" s="126"/>
      <c r="T25" s="127"/>
    </row>
    <row r="26" spans="1:20" ht="16.5" thickBot="1" x14ac:dyDescent="0.3">
      <c r="A26" s="102"/>
      <c r="B26" s="1"/>
      <c r="C26" s="1"/>
      <c r="D26" s="1"/>
      <c r="E26" s="1"/>
      <c r="F26" s="1"/>
      <c r="G26" s="1"/>
      <c r="H26" s="102"/>
      <c r="I26" s="1">
        <v>16</v>
      </c>
      <c r="J26" s="1"/>
      <c r="K26" s="1"/>
      <c r="L26" s="1"/>
      <c r="M26" s="1"/>
      <c r="O26" s="121"/>
      <c r="P26" s="122"/>
      <c r="Q26" s="122"/>
      <c r="R26" s="122"/>
      <c r="S26" s="122"/>
      <c r="T26" s="123"/>
    </row>
    <row r="27" spans="1:20" ht="16.5" thickBot="1" x14ac:dyDescent="0.3">
      <c r="O27" s="145"/>
      <c r="P27" s="34"/>
      <c r="Q27" s="35"/>
      <c r="R27" s="35"/>
      <c r="S27" s="35"/>
      <c r="T27" s="36"/>
    </row>
    <row r="28" spans="1:20" ht="16.5" customHeight="1" x14ac:dyDescent="0.25">
      <c r="B28" s="108" t="s">
        <v>109</v>
      </c>
      <c r="C28" s="73" t="s">
        <v>37</v>
      </c>
      <c r="D28" s="74" t="s">
        <v>142</v>
      </c>
      <c r="E28" s="74" t="s">
        <v>143</v>
      </c>
      <c r="F28" s="75" t="s">
        <v>144</v>
      </c>
      <c r="O28" s="146"/>
      <c r="P28" s="32"/>
      <c r="Q28" s="33"/>
      <c r="R28" s="33"/>
      <c r="S28" s="33"/>
      <c r="T28" s="37"/>
    </row>
    <row r="29" spans="1:20" x14ac:dyDescent="0.25">
      <c r="B29" s="109"/>
      <c r="C29" s="50">
        <v>2</v>
      </c>
      <c r="D29" s="44">
        <v>14.14</v>
      </c>
      <c r="E29" s="44">
        <v>12.923</v>
      </c>
      <c r="F29" s="76">
        <f>D29/E29</f>
        <v>1.0941731796022596</v>
      </c>
      <c r="O29" s="146"/>
      <c r="P29" s="31"/>
      <c r="Q29" s="16"/>
      <c r="R29" s="16"/>
      <c r="S29" s="16"/>
      <c r="T29" s="38"/>
    </row>
    <row r="30" spans="1:20" x14ac:dyDescent="0.25">
      <c r="B30" s="109"/>
      <c r="C30" s="50">
        <v>4</v>
      </c>
      <c r="D30" s="44">
        <v>23.44</v>
      </c>
      <c r="E30" s="44">
        <v>17.87</v>
      </c>
      <c r="F30" s="76">
        <f t="shared" ref="F30:F32" si="6">D30/E30</f>
        <v>1.3116955791829883</v>
      </c>
      <c r="O30" s="146"/>
      <c r="P30" s="31"/>
      <c r="Q30" s="16"/>
      <c r="R30" s="16"/>
      <c r="S30" s="16"/>
      <c r="T30" s="38"/>
    </row>
    <row r="31" spans="1:20" ht="16.5" thickBot="1" x14ac:dyDescent="0.3">
      <c r="B31" s="109"/>
      <c r="C31" s="50">
        <v>8</v>
      </c>
      <c r="D31" s="44">
        <v>38.619999999999997</v>
      </c>
      <c r="E31" s="44">
        <v>28.56</v>
      </c>
      <c r="F31" s="76">
        <f>D31/E31</f>
        <v>1.3522408963585435</v>
      </c>
      <c r="O31" s="147"/>
      <c r="P31" s="39"/>
      <c r="Q31" s="40"/>
      <c r="R31" s="40"/>
      <c r="S31" s="40"/>
      <c r="T31" s="41"/>
    </row>
    <row r="32" spans="1:20" ht="16.5" thickBot="1" x14ac:dyDescent="0.3">
      <c r="B32" s="110"/>
      <c r="C32" s="52">
        <v>16</v>
      </c>
      <c r="D32" s="54">
        <v>59</v>
      </c>
      <c r="E32" s="54">
        <v>46.978999999999999</v>
      </c>
      <c r="F32" s="77">
        <f t="shared" si="6"/>
        <v>1.2558802869367165</v>
      </c>
    </row>
    <row r="33" spans="2:2" x14ac:dyDescent="0.25">
      <c r="B33" s="71"/>
    </row>
  </sheetData>
  <mergeCells count="25">
    <mergeCell ref="O8:T8"/>
    <mergeCell ref="A2:A3"/>
    <mergeCell ref="C2:F2"/>
    <mergeCell ref="A4:A7"/>
    <mergeCell ref="C8:F8"/>
    <mergeCell ref="J8:M8"/>
    <mergeCell ref="O9:O13"/>
    <mergeCell ref="A10:A13"/>
    <mergeCell ref="H10:H13"/>
    <mergeCell ref="C14:F14"/>
    <mergeCell ref="J14:M14"/>
    <mergeCell ref="O14:T14"/>
    <mergeCell ref="O26:T26"/>
    <mergeCell ref="O27:O31"/>
    <mergeCell ref="O15:O19"/>
    <mergeCell ref="A16:A19"/>
    <mergeCell ref="H16:H19"/>
    <mergeCell ref="Q19:T19"/>
    <mergeCell ref="O20:T20"/>
    <mergeCell ref="C21:F21"/>
    <mergeCell ref="O21:O25"/>
    <mergeCell ref="A23:A26"/>
    <mergeCell ref="H23:H26"/>
    <mergeCell ref="Q25:T25"/>
    <mergeCell ref="B28:B3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F561-DE44-4E42-82BF-A86F0E50E71D}">
  <dimension ref="B1:H7"/>
  <sheetViews>
    <sheetView workbookViewId="0">
      <selection activeCell="B2" sqref="B2:H7"/>
    </sheetView>
  </sheetViews>
  <sheetFormatPr defaultRowHeight="15.75" x14ac:dyDescent="0.25"/>
  <cols>
    <col min="2" max="2" width="12.125" bestFit="1" customWidth="1"/>
    <col min="3" max="3" width="9" bestFit="1" customWidth="1"/>
    <col min="4" max="4" width="14.375" bestFit="1" customWidth="1"/>
    <col min="7" max="7" width="14.375" bestFit="1" customWidth="1"/>
    <col min="8" max="8" width="14.875" bestFit="1" customWidth="1"/>
  </cols>
  <sheetData>
    <row r="1" spans="2:8" ht="16.5" thickBot="1" x14ac:dyDescent="0.3"/>
    <row r="2" spans="2:8" ht="16.5" thickBot="1" x14ac:dyDescent="0.3">
      <c r="B2" s="153" t="s">
        <v>101</v>
      </c>
      <c r="C2" s="149" t="s">
        <v>114</v>
      </c>
      <c r="D2" s="150"/>
      <c r="E2" s="151"/>
      <c r="F2" s="152" t="s">
        <v>115</v>
      </c>
      <c r="G2" s="150"/>
      <c r="H2" s="151"/>
    </row>
    <row r="3" spans="2:8" ht="16.5" thickBot="1" x14ac:dyDescent="0.3">
      <c r="B3" s="154"/>
      <c r="C3" s="89" t="s">
        <v>37</v>
      </c>
      <c r="D3" s="87" t="s">
        <v>120</v>
      </c>
      <c r="E3" s="87" t="s">
        <v>121</v>
      </c>
      <c r="F3" s="87" t="s">
        <v>37</v>
      </c>
      <c r="G3" s="87" t="s">
        <v>120</v>
      </c>
      <c r="H3" s="88" t="s">
        <v>121</v>
      </c>
    </row>
    <row r="4" spans="2:8" x14ac:dyDescent="0.25">
      <c r="B4" s="90" t="s">
        <v>116</v>
      </c>
      <c r="C4" s="86">
        <v>8</v>
      </c>
      <c r="D4" s="3">
        <v>2</v>
      </c>
      <c r="E4" s="3">
        <v>2</v>
      </c>
      <c r="F4" s="3">
        <v>8</v>
      </c>
      <c r="G4" s="3">
        <v>4</v>
      </c>
      <c r="H4" s="82">
        <v>4</v>
      </c>
    </row>
    <row r="5" spans="2:8" x14ac:dyDescent="0.25">
      <c r="B5" s="91" t="s">
        <v>117</v>
      </c>
      <c r="C5" s="2">
        <v>4</v>
      </c>
      <c r="D5" s="1">
        <v>1</v>
      </c>
      <c r="E5" s="1">
        <v>4</v>
      </c>
      <c r="F5" s="1">
        <v>4</v>
      </c>
      <c r="G5" s="1">
        <v>1</v>
      </c>
      <c r="H5" s="76">
        <v>4</v>
      </c>
    </row>
    <row r="6" spans="2:8" x14ac:dyDescent="0.25">
      <c r="B6" s="91" t="s">
        <v>118</v>
      </c>
      <c r="C6" s="2">
        <v>8</v>
      </c>
      <c r="D6" s="1">
        <v>2</v>
      </c>
      <c r="E6" s="1">
        <v>6</v>
      </c>
      <c r="F6" s="1">
        <v>2</v>
      </c>
      <c r="G6" s="1">
        <v>2</v>
      </c>
      <c r="H6" s="76">
        <v>8</v>
      </c>
    </row>
    <row r="7" spans="2:8" ht="16.5" thickBot="1" x14ac:dyDescent="0.3">
      <c r="B7" s="92" t="s">
        <v>119</v>
      </c>
      <c r="C7" s="93">
        <v>2</v>
      </c>
      <c r="D7" s="80">
        <v>1</v>
      </c>
      <c r="E7" s="80">
        <v>6</v>
      </c>
      <c r="F7" s="80">
        <v>2</v>
      </c>
      <c r="G7" s="80">
        <v>1</v>
      </c>
      <c r="H7" s="77">
        <v>8</v>
      </c>
    </row>
  </sheetData>
  <mergeCells count="3">
    <mergeCell ref="C2:E2"/>
    <mergeCell ref="F2:H2"/>
    <mergeCell ref="B2: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A09E-9795-49C6-9CA6-471C483418D0}">
  <dimension ref="B1:E10"/>
  <sheetViews>
    <sheetView workbookViewId="0">
      <selection activeCell="E10" sqref="E10"/>
    </sheetView>
  </sheetViews>
  <sheetFormatPr defaultRowHeight="15.75" x14ac:dyDescent="0.25"/>
  <cols>
    <col min="2" max="2" width="14.25" bestFit="1" customWidth="1"/>
    <col min="5" max="5" width="9.375" bestFit="1" customWidth="1"/>
  </cols>
  <sheetData>
    <row r="1" spans="2:5" ht="16.5" thickBot="1" x14ac:dyDescent="0.3"/>
    <row r="2" spans="2:5" ht="16.5" thickBot="1" x14ac:dyDescent="0.3">
      <c r="B2" s="158" t="s">
        <v>127</v>
      </c>
      <c r="C2" s="159"/>
      <c r="D2" s="159"/>
      <c r="E2" s="160"/>
    </row>
    <row r="3" spans="2:5" ht="16.5" thickBot="1" x14ac:dyDescent="0.3">
      <c r="B3" s="161" t="s">
        <v>90</v>
      </c>
      <c r="C3" s="155" t="s">
        <v>122</v>
      </c>
      <c r="D3" s="156"/>
      <c r="E3" s="157"/>
    </row>
    <row r="4" spans="2:5" ht="16.5" thickBot="1" x14ac:dyDescent="0.3">
      <c r="B4" s="162"/>
      <c r="C4" s="83">
        <v>4090</v>
      </c>
      <c r="D4" s="84">
        <v>4080</v>
      </c>
      <c r="E4" s="85" t="s">
        <v>123</v>
      </c>
    </row>
    <row r="5" spans="2:5" x14ac:dyDescent="0.25">
      <c r="B5" s="81" t="s">
        <v>88</v>
      </c>
      <c r="C5" s="33">
        <v>6.4969999999999999</v>
      </c>
      <c r="D5" s="3">
        <v>3.9590000000000001</v>
      </c>
      <c r="E5" s="82">
        <v>28.56</v>
      </c>
    </row>
    <row r="6" spans="2:5" x14ac:dyDescent="0.25">
      <c r="B6" s="81" t="s">
        <v>129</v>
      </c>
      <c r="C6" s="33">
        <v>0.92</v>
      </c>
      <c r="D6" s="3" t="s">
        <v>128</v>
      </c>
      <c r="E6" s="82" t="s">
        <v>128</v>
      </c>
    </row>
    <row r="7" spans="2:5" x14ac:dyDescent="0.25">
      <c r="B7" s="78" t="s">
        <v>91</v>
      </c>
      <c r="C7" s="1">
        <v>28.4</v>
      </c>
      <c r="D7" s="1">
        <v>35.03</v>
      </c>
      <c r="E7" s="76">
        <v>38.619999999999997</v>
      </c>
    </row>
    <row r="8" spans="2:5" x14ac:dyDescent="0.25">
      <c r="B8" s="78" t="s">
        <v>43</v>
      </c>
      <c r="C8" s="1">
        <v>16.39</v>
      </c>
      <c r="D8" s="1">
        <v>7.76</v>
      </c>
      <c r="E8" s="76" t="s">
        <v>128</v>
      </c>
    </row>
    <row r="9" spans="2:5" ht="16.5" thickBot="1" x14ac:dyDescent="0.3">
      <c r="B9" s="79" t="s">
        <v>42</v>
      </c>
      <c r="C9" s="80">
        <v>19.8</v>
      </c>
      <c r="D9" s="80">
        <v>21.2</v>
      </c>
      <c r="E9" s="77" t="s">
        <v>128</v>
      </c>
    </row>
    <row r="10" spans="2:5" ht="16.5" thickBot="1" x14ac:dyDescent="0.3">
      <c r="B10" s="83" t="s">
        <v>125</v>
      </c>
      <c r="C10" s="159" t="s">
        <v>124</v>
      </c>
      <c r="D10" s="159"/>
      <c r="E10" s="85" t="s">
        <v>126</v>
      </c>
    </row>
  </sheetData>
  <mergeCells count="4">
    <mergeCell ref="C3:E3"/>
    <mergeCell ref="B2:E2"/>
    <mergeCell ref="B3:B4"/>
    <mergeCell ref="C10: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7F05-2540-4CAD-A170-6E21FF5150F4}">
  <dimension ref="B1:M21"/>
  <sheetViews>
    <sheetView tabSelected="1" workbookViewId="0">
      <selection activeCell="E12" sqref="E12"/>
    </sheetView>
  </sheetViews>
  <sheetFormatPr defaultRowHeight="15.75" x14ac:dyDescent="0.25"/>
  <cols>
    <col min="2" max="2" width="14.25" bestFit="1" customWidth="1"/>
    <col min="3" max="3" width="19.125" bestFit="1" customWidth="1"/>
    <col min="4" max="4" width="39.875" bestFit="1" customWidth="1"/>
    <col min="5" max="5" width="19.125" bestFit="1" customWidth="1"/>
    <col min="8" max="8" width="20.125" bestFit="1" customWidth="1"/>
    <col min="11" max="13" width="8.625" style="97"/>
  </cols>
  <sheetData>
    <row r="1" spans="2:13" ht="16.5" thickBot="1" x14ac:dyDescent="0.3">
      <c r="K1" s="97" t="s">
        <v>134</v>
      </c>
      <c r="L1" s="97" t="s">
        <v>135</v>
      </c>
      <c r="M1" s="97" t="s">
        <v>136</v>
      </c>
    </row>
    <row r="2" spans="2:13" ht="16.5" thickBot="1" x14ac:dyDescent="0.3">
      <c r="B2" s="164" t="s">
        <v>90</v>
      </c>
      <c r="C2" s="155" t="s">
        <v>68</v>
      </c>
      <c r="D2" s="156"/>
      <c r="E2" s="157"/>
      <c r="F2" s="155" t="s">
        <v>123</v>
      </c>
      <c r="G2" s="156"/>
      <c r="H2" s="157"/>
      <c r="K2" s="97">
        <v>4.5763888888888889E-2</v>
      </c>
      <c r="L2" s="97">
        <v>5.0798611111111114E-2</v>
      </c>
      <c r="M2" s="97">
        <f>L2-K2</f>
        <v>5.0347222222222252E-3</v>
      </c>
    </row>
    <row r="3" spans="2:13" ht="16.5" thickBot="1" x14ac:dyDescent="0.3">
      <c r="B3" s="165"/>
      <c r="C3" s="83" t="s">
        <v>131</v>
      </c>
      <c r="D3" s="84" t="s">
        <v>132</v>
      </c>
      <c r="E3" s="85" t="s">
        <v>130</v>
      </c>
      <c r="F3" s="96" t="s">
        <v>131</v>
      </c>
      <c r="G3" s="84" t="s">
        <v>132</v>
      </c>
      <c r="H3" s="85" t="s">
        <v>130</v>
      </c>
      <c r="J3" t="s">
        <v>88</v>
      </c>
      <c r="K3" s="97">
        <v>6.8148148148148152E-2</v>
      </c>
      <c r="L3" s="97">
        <v>7.1574074074074068E-2</v>
      </c>
      <c r="M3" s="97">
        <f>L3-K3</f>
        <v>3.4259259259259156E-3</v>
      </c>
    </row>
    <row r="4" spans="2:13" x14ac:dyDescent="0.25">
      <c r="B4" s="94" t="s">
        <v>88</v>
      </c>
      <c r="C4" s="81">
        <v>160</v>
      </c>
      <c r="D4" s="3">
        <v>256</v>
      </c>
      <c r="E4" s="82">
        <f>D4/C4</f>
        <v>1.6</v>
      </c>
      <c r="F4" s="86">
        <f>4*60+56</f>
        <v>296</v>
      </c>
      <c r="G4" s="3">
        <v>128</v>
      </c>
      <c r="H4" s="82">
        <f>G4/F4</f>
        <v>0.43243243243243246</v>
      </c>
      <c r="J4" t="s">
        <v>91</v>
      </c>
    </row>
    <row r="5" spans="2:13" x14ac:dyDescent="0.25">
      <c r="B5" s="94" t="s">
        <v>91</v>
      </c>
      <c r="C5" s="78">
        <v>890</v>
      </c>
      <c r="D5" s="1">
        <v>256</v>
      </c>
      <c r="E5" s="76">
        <f t="shared" ref="E5:E7" si="0">D5/C5</f>
        <v>0.28764044943820227</v>
      </c>
      <c r="F5" s="2">
        <v>890</v>
      </c>
      <c r="G5" s="1">
        <v>128</v>
      </c>
      <c r="H5" s="76">
        <f>1/15.5</f>
        <v>6.4516129032258063E-2</v>
      </c>
      <c r="J5" t="s">
        <v>42</v>
      </c>
    </row>
    <row r="6" spans="2:13" x14ac:dyDescent="0.25">
      <c r="B6" s="94" t="s">
        <v>43</v>
      </c>
      <c r="C6" s="78">
        <v>374.76</v>
      </c>
      <c r="D6" s="1">
        <v>256</v>
      </c>
      <c r="E6" s="76">
        <f t="shared" si="0"/>
        <v>0.68310385313267163</v>
      </c>
      <c r="F6" s="166" t="s">
        <v>133</v>
      </c>
      <c r="G6" s="144"/>
      <c r="H6" s="167"/>
    </row>
    <row r="7" spans="2:13" ht="16.5" thickBot="1" x14ac:dyDescent="0.3">
      <c r="B7" s="95" t="s">
        <v>42</v>
      </c>
      <c r="C7" s="79">
        <v>216</v>
      </c>
      <c r="D7" s="80">
        <v>256</v>
      </c>
      <c r="E7" s="77">
        <f t="shared" si="0"/>
        <v>1.1851851851851851</v>
      </c>
      <c r="F7" s="93">
        <v>345.86</v>
      </c>
      <c r="G7" s="80">
        <v>128</v>
      </c>
      <c r="H7" s="77">
        <f t="shared" ref="H7" si="1">G7/F7</f>
        <v>0.37009194471751572</v>
      </c>
    </row>
    <row r="8" spans="2:13" ht="16.5" thickBot="1" x14ac:dyDescent="0.3"/>
    <row r="9" spans="2:13" ht="16.5" thickBot="1" x14ac:dyDescent="0.3">
      <c r="B9" s="155" t="s">
        <v>130</v>
      </c>
      <c r="C9" s="156"/>
      <c r="D9" s="157"/>
      <c r="E9">
        <f>E4/E5</f>
        <v>5.5625</v>
      </c>
    </row>
    <row r="10" spans="2:13" ht="16.5" thickBot="1" x14ac:dyDescent="0.3">
      <c r="B10" s="100" t="s">
        <v>90</v>
      </c>
      <c r="C10" s="96" t="s">
        <v>68</v>
      </c>
      <c r="D10" s="85" t="s">
        <v>123</v>
      </c>
      <c r="E10">
        <f>E4/E6</f>
        <v>2.3422499999999999</v>
      </c>
    </row>
    <row r="11" spans="2:13" x14ac:dyDescent="0.25">
      <c r="B11" s="99" t="s">
        <v>88</v>
      </c>
      <c r="C11" s="86">
        <v>1.6</v>
      </c>
      <c r="D11" s="82">
        <v>0.43243243243243246</v>
      </c>
      <c r="E11">
        <f>E4/E7</f>
        <v>1.35</v>
      </c>
    </row>
    <row r="12" spans="2:13" x14ac:dyDescent="0.25">
      <c r="B12" s="94" t="s">
        <v>91</v>
      </c>
      <c r="C12" s="2">
        <v>0.28764044943820227</v>
      </c>
      <c r="D12" s="76">
        <v>6.4516129032258063E-2</v>
      </c>
    </row>
    <row r="13" spans="2:13" x14ac:dyDescent="0.25">
      <c r="B13" s="94" t="s">
        <v>43</v>
      </c>
      <c r="C13" s="2">
        <v>0.68310385313267163</v>
      </c>
      <c r="D13" s="76" t="s">
        <v>145</v>
      </c>
    </row>
    <row r="14" spans="2:13" ht="16.5" thickBot="1" x14ac:dyDescent="0.3">
      <c r="B14" s="95" t="s">
        <v>42</v>
      </c>
      <c r="C14" s="93">
        <v>1.1851851851851851</v>
      </c>
      <c r="D14" s="77">
        <v>0.37009194471751572</v>
      </c>
    </row>
    <row r="16" spans="2:13" x14ac:dyDescent="0.25">
      <c r="C16" s="163" t="s">
        <v>130</v>
      </c>
      <c r="D16" s="163"/>
    </row>
    <row r="17" spans="2:4" x14ac:dyDescent="0.25">
      <c r="B17" s="98" t="s">
        <v>90</v>
      </c>
      <c r="C17" t="s">
        <v>68</v>
      </c>
      <c r="D17" t="s">
        <v>123</v>
      </c>
    </row>
    <row r="18" spans="2:4" x14ac:dyDescent="0.25">
      <c r="B18" s="72" t="s">
        <v>88</v>
      </c>
      <c r="C18">
        <f>C11*60</f>
        <v>96</v>
      </c>
      <c r="D18">
        <f>D11*60</f>
        <v>25.945945945945947</v>
      </c>
    </row>
    <row r="19" spans="2:4" x14ac:dyDescent="0.25">
      <c r="B19" s="72" t="s">
        <v>91</v>
      </c>
      <c r="C19">
        <f t="shared" ref="C19:D21" si="2">C12*60</f>
        <v>17.258426966292138</v>
      </c>
      <c r="D19">
        <f>D12*60</f>
        <v>3.870967741935484</v>
      </c>
    </row>
    <row r="20" spans="2:4" x14ac:dyDescent="0.25">
      <c r="B20" s="72" t="s">
        <v>43</v>
      </c>
      <c r="C20">
        <f t="shared" si="2"/>
        <v>40.9862311879603</v>
      </c>
      <c r="D20" t="s">
        <v>133</v>
      </c>
    </row>
    <row r="21" spans="2:4" x14ac:dyDescent="0.25">
      <c r="B21" s="72" t="s">
        <v>42</v>
      </c>
      <c r="C21">
        <f t="shared" si="2"/>
        <v>71.111111111111114</v>
      </c>
      <c r="D21">
        <f t="shared" si="2"/>
        <v>22.205516683050945</v>
      </c>
    </row>
  </sheetData>
  <mergeCells count="6">
    <mergeCell ref="C16:D16"/>
    <mergeCell ref="C2:E2"/>
    <mergeCell ref="F2:H2"/>
    <mergeCell ref="B2:B3"/>
    <mergeCell ref="F6:H6"/>
    <mergeCell ref="B9:D9"/>
  </mergeCells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B999-3C57-4A08-B20C-70AD1E926522}">
  <dimension ref="B1:D8"/>
  <sheetViews>
    <sheetView workbookViewId="0">
      <selection activeCell="B5" sqref="B5"/>
    </sheetView>
  </sheetViews>
  <sheetFormatPr defaultRowHeight="15.75" x14ac:dyDescent="0.25"/>
  <cols>
    <col min="2" max="2" width="9.875" bestFit="1" customWidth="1"/>
  </cols>
  <sheetData>
    <row r="1" spans="2:4" x14ac:dyDescent="0.25">
      <c r="B1" t="s">
        <v>146</v>
      </c>
      <c r="C1" t="s">
        <v>147</v>
      </c>
    </row>
    <row r="2" spans="2:4" x14ac:dyDescent="0.25">
      <c r="B2" t="s">
        <v>152</v>
      </c>
      <c r="C2" t="s">
        <v>148</v>
      </c>
      <c r="D2" t="s">
        <v>149</v>
      </c>
    </row>
    <row r="3" spans="2:4" x14ac:dyDescent="0.25">
      <c r="B3" t="s">
        <v>153</v>
      </c>
      <c r="C3">
        <v>0.46</v>
      </c>
      <c r="D3">
        <v>0.25800000000000001</v>
      </c>
    </row>
    <row r="4" spans="2:4" x14ac:dyDescent="0.25">
      <c r="B4" t="s">
        <v>153</v>
      </c>
      <c r="C4">
        <v>3.73</v>
      </c>
      <c r="D4">
        <v>4.0079000000000002</v>
      </c>
    </row>
    <row r="5" spans="2:4" x14ac:dyDescent="0.25">
      <c r="B5" t="s">
        <v>154</v>
      </c>
      <c r="C5">
        <v>0</v>
      </c>
      <c r="D5">
        <v>0.1</v>
      </c>
    </row>
    <row r="6" spans="2:4" x14ac:dyDescent="0.25">
      <c r="B6" t="s">
        <v>155</v>
      </c>
      <c r="C6">
        <v>0</v>
      </c>
      <c r="D6">
        <v>3.41</v>
      </c>
    </row>
    <row r="7" spans="2:4" x14ac:dyDescent="0.25">
      <c r="B7" t="s">
        <v>150</v>
      </c>
      <c r="C7">
        <f>SUM(C3:C6)</f>
        <v>4.1900000000000004</v>
      </c>
      <c r="D7">
        <f>SUM(D3:D6)</f>
        <v>7.7759</v>
      </c>
    </row>
    <row r="8" spans="2:4" x14ac:dyDescent="0.25">
      <c r="B8" t="s">
        <v>151</v>
      </c>
      <c r="C8" s="163">
        <f>SUM(C7:D7)</f>
        <v>11.965900000000001</v>
      </c>
      <c r="D8" s="163"/>
    </row>
  </sheetData>
  <mergeCells count="1">
    <mergeCell ref="C8:D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1c18ee-ea97-4021-8d1c-4d67e44b175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D28FC0CFC5648BFB5C400A84D3C35" ma:contentTypeVersion="18" ma:contentTypeDescription="Create a new document." ma:contentTypeScope="" ma:versionID="cf28436341e4bc862f1a809252bda88f">
  <xsd:schema xmlns:xsd="http://www.w3.org/2001/XMLSchema" xmlns:xs="http://www.w3.org/2001/XMLSchema" xmlns:p="http://schemas.microsoft.com/office/2006/metadata/properties" xmlns:ns3="741c18ee-ea97-4021-8d1c-4d67e44b1753" xmlns:ns4="86538b51-c44f-42ae-b708-d287dba7348a" targetNamespace="http://schemas.microsoft.com/office/2006/metadata/properties" ma:root="true" ma:fieldsID="faee2e4fca744b7e11ee2db951eaed0a" ns3:_="" ns4:_="">
    <xsd:import namespace="741c18ee-ea97-4021-8d1c-4d67e44b1753"/>
    <xsd:import namespace="86538b51-c44f-42ae-b708-d287dba734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c18ee-ea97-4021-8d1c-4d67e44b1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538b51-c44f-42ae-b708-d287dba7348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214EA5-41D9-4556-AD51-406AF4B1E0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E06ADF-8A68-4EA1-9080-434809E5D72C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741c18ee-ea97-4021-8d1c-4d67e44b1753"/>
    <ds:schemaRef ds:uri="http://purl.org/dc/dcmitype/"/>
    <ds:schemaRef ds:uri="http://schemas.openxmlformats.org/package/2006/metadata/core-properties"/>
    <ds:schemaRef ds:uri="http://schemas.microsoft.com/office/2006/metadata/properties"/>
    <ds:schemaRef ds:uri="86538b51-c44f-42ae-b708-d287dba7348a"/>
  </ds:schemaRefs>
</ds:datastoreItem>
</file>

<file path=customXml/itemProps3.xml><?xml version="1.0" encoding="utf-8"?>
<ds:datastoreItem xmlns:ds="http://schemas.openxmlformats.org/officeDocument/2006/customXml" ds:itemID="{B2B0E84B-808A-4062-8F6E-D9E2FD8E8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1c18ee-ea97-4021-8d1c-4d67e44b1753"/>
    <ds:schemaRef ds:uri="86538b51-c44f-42ae-b708-d287dba734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Encode</vt:lpstr>
      <vt:lpstr>Retrieval</vt:lpstr>
      <vt:lpstr>Comparison</vt:lpstr>
      <vt:lpstr>edge vs. server</vt:lpstr>
      <vt:lpstr>Motivation</vt:lpstr>
      <vt:lpstr>CachingResults4090</vt:lpstr>
      <vt:lpstr>LatencyResults-NoCache4090</vt:lpstr>
      <vt:lpstr>LatencyResults-NoCache4080</vt:lpstr>
      <vt:lpstr>LatencyResults-NoCacheJetson</vt:lpstr>
      <vt:lpstr>Mapping</vt:lpstr>
      <vt:lpstr>mainLatencyResults</vt:lpstr>
      <vt:lpstr>ThroughputResult</vt:lpstr>
      <vt:lpstr>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Chaudhary, Deeksha</dc:creator>
  <cp:keywords/>
  <dc:description/>
  <cp:lastModifiedBy>Mishra, Cyan</cp:lastModifiedBy>
  <cp:revision/>
  <dcterms:created xsi:type="dcterms:W3CDTF">2024-11-17T20:25:52Z</dcterms:created>
  <dcterms:modified xsi:type="dcterms:W3CDTF">2025-03-17T18:53:43Z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0x01010005ED28FC0CFC5648BFB5C400A84D3C35</vt:lpwstr>
  </property>
</Properties>
</file>